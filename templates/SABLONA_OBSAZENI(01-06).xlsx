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philipkiulpekidis/Dropbox/Dabing/TABULKY+MAKRA/"/>
    </mc:Choice>
  </mc:AlternateContent>
  <xr:revisionPtr revIDLastSave="0" documentId="13_ncr:1_{B2502906-E9D5-3B4D-B057-A73998188272}" xr6:coauthVersionLast="47" xr6:coauthVersionMax="47" xr10:uidLastSave="{00000000-0000-0000-0000-000000000000}"/>
  <bookViews>
    <workbookView xWindow="0" yWindow="660" windowWidth="30240" windowHeight="17640" xr2:uid="{6533E516-88E7-3A4D-8845-EAB29C6F9CCE}"/>
  </bookViews>
  <sheets>
    <sheet name="HERCI" sheetId="2" r:id="rId1"/>
    <sheet name="KOMPLET" sheetId="1" r:id="rId2"/>
    <sheet name="PŘEHLED" sheetId="14" r:id="rId3"/>
    <sheet name="01" sheetId="3" r:id="rId4"/>
    <sheet name="02" sheetId="4" r:id="rId5"/>
    <sheet name="03" sheetId="5" r:id="rId6"/>
    <sheet name="04" sheetId="11" r:id="rId7"/>
    <sheet name="05" sheetId="12" r:id="rId8"/>
    <sheet name="06" sheetId="13" r:id="rId9"/>
  </sheets>
  <calcPr calcId="191028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5" l="1"/>
  <c r="D31" i="5"/>
  <c r="D32" i="5"/>
  <c r="D33" i="5"/>
  <c r="D17" i="4"/>
  <c r="D18" i="4"/>
  <c r="D8" i="13"/>
  <c r="D9" i="13"/>
  <c r="D10" i="13"/>
  <c r="D11" i="13"/>
  <c r="D12" i="13"/>
  <c r="D13" i="13"/>
  <c r="D14" i="13"/>
  <c r="D15" i="13"/>
  <c r="D16" i="13"/>
  <c r="F38" i="5"/>
  <c r="F26" i="4"/>
  <c r="D32" i="3"/>
  <c r="D33" i="3"/>
  <c r="D34" i="3"/>
  <c r="D35" i="3"/>
  <c r="F32" i="3"/>
  <c r="F33" i="3"/>
  <c r="F34" i="3"/>
  <c r="F35" i="3"/>
  <c r="B24" i="13"/>
  <c r="B27" i="12"/>
  <c r="B31" i="11"/>
  <c r="B39" i="5"/>
  <c r="B27" i="4"/>
  <c r="B36" i="3"/>
  <c r="D27" i="3"/>
  <c r="D28" i="3"/>
  <c r="D29" i="3"/>
  <c r="D30" i="3"/>
  <c r="D31" i="3"/>
  <c r="B77" i="1"/>
  <c r="B102" i="1"/>
  <c r="B87" i="1"/>
  <c r="B89" i="1"/>
  <c r="C77" i="1"/>
  <c r="C102" i="1"/>
  <c r="C87" i="1"/>
  <c r="C89" i="1"/>
  <c r="D77" i="1"/>
  <c r="D102" i="1"/>
  <c r="D87" i="1"/>
  <c r="D89" i="1"/>
  <c r="E77" i="1"/>
  <c r="E102" i="1"/>
  <c r="E87" i="1"/>
  <c r="E89" i="1"/>
  <c r="F77" i="1"/>
  <c r="F102" i="1"/>
  <c r="F87" i="1"/>
  <c r="F89" i="1"/>
  <c r="G77" i="1"/>
  <c r="G102" i="1"/>
  <c r="G87" i="1"/>
  <c r="G89" i="1"/>
  <c r="I77" i="1"/>
  <c r="I102" i="1"/>
  <c r="I87" i="1"/>
  <c r="I89" i="1"/>
  <c r="J77" i="1"/>
  <c r="J102" i="1"/>
  <c r="J87" i="1"/>
  <c r="J89" i="1"/>
  <c r="B86" i="1"/>
  <c r="B10" i="1"/>
  <c r="B4" i="1"/>
  <c r="C86" i="1"/>
  <c r="C10" i="1"/>
  <c r="C4" i="1"/>
  <c r="D86" i="1"/>
  <c r="D10" i="1"/>
  <c r="D4" i="1"/>
  <c r="E86" i="1"/>
  <c r="E10" i="1"/>
  <c r="E4" i="1"/>
  <c r="F86" i="1"/>
  <c r="F10" i="1"/>
  <c r="F4" i="1"/>
  <c r="G86" i="1"/>
  <c r="G10" i="1"/>
  <c r="G4" i="1"/>
  <c r="I86" i="1"/>
  <c r="I10" i="1"/>
  <c r="I4" i="1"/>
  <c r="J86" i="1"/>
  <c r="J10" i="1"/>
  <c r="J4" i="1"/>
  <c r="D20" i="12"/>
  <c r="D21" i="12"/>
  <c r="D22" i="12"/>
  <c r="D23" i="12"/>
  <c r="D24" i="12"/>
  <c r="D25" i="12"/>
  <c r="D26" i="12"/>
  <c r="F20" i="12"/>
  <c r="F21" i="12"/>
  <c r="F22" i="12"/>
  <c r="F23" i="12"/>
  <c r="F24" i="12"/>
  <c r="F25" i="12"/>
  <c r="F26" i="12"/>
  <c r="B96" i="1"/>
  <c r="B73" i="1"/>
  <c r="B84" i="1"/>
  <c r="B42" i="1"/>
  <c r="B9" i="1"/>
  <c r="B93" i="1"/>
  <c r="B98" i="1"/>
  <c r="B103" i="1"/>
  <c r="B7" i="1"/>
  <c r="B13" i="1"/>
  <c r="B12" i="1"/>
  <c r="B47" i="1"/>
  <c r="C96" i="1"/>
  <c r="C73" i="1"/>
  <c r="C84" i="1"/>
  <c r="C42" i="1"/>
  <c r="C9" i="1"/>
  <c r="C93" i="1"/>
  <c r="C98" i="1"/>
  <c r="C103" i="1"/>
  <c r="C7" i="1"/>
  <c r="C13" i="1"/>
  <c r="C12" i="1"/>
  <c r="C47" i="1"/>
  <c r="D96" i="1"/>
  <c r="D73" i="1"/>
  <c r="D84" i="1"/>
  <c r="D42" i="1"/>
  <c r="D9" i="1"/>
  <c r="D93" i="1"/>
  <c r="D98" i="1"/>
  <c r="D103" i="1"/>
  <c r="D7" i="1"/>
  <c r="D13" i="1"/>
  <c r="D12" i="1"/>
  <c r="D47" i="1"/>
  <c r="E96" i="1"/>
  <c r="E73" i="1"/>
  <c r="E84" i="1"/>
  <c r="E42" i="1"/>
  <c r="E9" i="1"/>
  <c r="E93" i="1"/>
  <c r="E98" i="1"/>
  <c r="E103" i="1"/>
  <c r="E7" i="1"/>
  <c r="E13" i="1"/>
  <c r="E12" i="1"/>
  <c r="E47" i="1"/>
  <c r="F96" i="1"/>
  <c r="F73" i="1"/>
  <c r="F84" i="1"/>
  <c r="F42" i="1"/>
  <c r="F9" i="1"/>
  <c r="F93" i="1"/>
  <c r="F98" i="1"/>
  <c r="F103" i="1"/>
  <c r="F7" i="1"/>
  <c r="F13" i="1"/>
  <c r="F12" i="1"/>
  <c r="F47" i="1"/>
  <c r="G96" i="1"/>
  <c r="G73" i="1"/>
  <c r="G84" i="1"/>
  <c r="G42" i="1"/>
  <c r="G9" i="1"/>
  <c r="G93" i="1"/>
  <c r="G98" i="1"/>
  <c r="G103" i="1"/>
  <c r="G7" i="1"/>
  <c r="G13" i="1"/>
  <c r="G12" i="1"/>
  <c r="G47" i="1"/>
  <c r="I96" i="1"/>
  <c r="I73" i="1"/>
  <c r="I84" i="1"/>
  <c r="I42" i="1"/>
  <c r="I9" i="1"/>
  <c r="I93" i="1"/>
  <c r="I98" i="1"/>
  <c r="I103" i="1"/>
  <c r="I7" i="1"/>
  <c r="I13" i="1"/>
  <c r="I12" i="1"/>
  <c r="I47" i="1"/>
  <c r="J96" i="1"/>
  <c r="J73" i="1"/>
  <c r="J84" i="1"/>
  <c r="J42" i="1"/>
  <c r="J9" i="1"/>
  <c r="J93" i="1"/>
  <c r="J98" i="1"/>
  <c r="J103" i="1"/>
  <c r="J7" i="1"/>
  <c r="J13" i="1"/>
  <c r="J12" i="1"/>
  <c r="J47" i="1"/>
  <c r="I108" i="1" l="1"/>
  <c r="I94" i="1"/>
  <c r="I40" i="1"/>
  <c r="I107" i="1"/>
  <c r="I110" i="1"/>
  <c r="I25" i="1"/>
  <c r="I83" i="1"/>
  <c r="I18" i="1"/>
  <c r="I6" i="1"/>
  <c r="I23" i="1"/>
  <c r="I41" i="1"/>
  <c r="I109" i="1"/>
  <c r="I35" i="1"/>
  <c r="I76" i="1"/>
  <c r="I105" i="1"/>
  <c r="I8" i="1"/>
  <c r="I2" i="1"/>
  <c r="I31" i="1"/>
  <c r="I34" i="1"/>
  <c r="I59" i="1"/>
  <c r="I71" i="1"/>
  <c r="I49" i="1"/>
  <c r="I3" i="1"/>
  <c r="I81" i="1"/>
  <c r="I80" i="1"/>
  <c r="I55" i="1"/>
  <c r="I53" i="1"/>
  <c r="I14" i="1"/>
  <c r="I79" i="1"/>
  <c r="I95" i="1"/>
  <c r="I51" i="1"/>
  <c r="I97" i="1"/>
  <c r="I101" i="1"/>
  <c r="I106" i="1"/>
  <c r="I92" i="1"/>
  <c r="I30" i="1"/>
  <c r="I100" i="1"/>
  <c r="I82" i="1"/>
  <c r="I28" i="1"/>
  <c r="I17" i="1"/>
  <c r="I29" i="1"/>
  <c r="I27" i="1"/>
  <c r="I32" i="1"/>
  <c r="I19" i="1"/>
  <c r="I64" i="1"/>
  <c r="I5" i="1"/>
  <c r="I33" i="1"/>
  <c r="I74" i="1"/>
  <c r="I66" i="1"/>
  <c r="I44" i="1"/>
  <c r="I58" i="1"/>
  <c r="I90" i="1"/>
  <c r="I99" i="1"/>
  <c r="I70" i="1"/>
  <c r="I65" i="1"/>
  <c r="I39" i="1"/>
  <c r="I104" i="1"/>
  <c r="I56" i="1"/>
  <c r="I21" i="1"/>
  <c r="I24" i="1"/>
  <c r="I54" i="1"/>
  <c r="I38" i="1"/>
  <c r="I88" i="1"/>
  <c r="I57" i="1"/>
  <c r="I69" i="1"/>
  <c r="I37" i="1"/>
  <c r="I62" i="1"/>
  <c r="I72" i="1"/>
  <c r="I63" i="1"/>
  <c r="I60" i="1"/>
  <c r="I15" i="1"/>
  <c r="I67" i="1"/>
  <c r="I43" i="1"/>
  <c r="I16" i="1"/>
  <c r="I85" i="1"/>
  <c r="I48" i="1"/>
  <c r="I26" i="1"/>
  <c r="I91" i="1"/>
  <c r="I68" i="1"/>
  <c r="I20" i="1"/>
  <c r="I50" i="1"/>
  <c r="I11" i="1"/>
  <c r="I45" i="1"/>
  <c r="I75" i="1"/>
  <c r="I46" i="1"/>
  <c r="I61" i="1"/>
  <c r="I36" i="1"/>
  <c r="I22" i="1"/>
  <c r="I78" i="1"/>
  <c r="I52" i="1"/>
  <c r="J108" i="1"/>
  <c r="J94" i="1"/>
  <c r="J40" i="1"/>
  <c r="J107" i="1"/>
  <c r="J110" i="1"/>
  <c r="J25" i="1"/>
  <c r="J83" i="1"/>
  <c r="J18" i="1"/>
  <c r="J6" i="1"/>
  <c r="J23" i="1"/>
  <c r="J41" i="1"/>
  <c r="J109" i="1"/>
  <c r="J35" i="1"/>
  <c r="J76" i="1"/>
  <c r="J105" i="1"/>
  <c r="J8" i="1"/>
  <c r="J2" i="1"/>
  <c r="J31" i="1"/>
  <c r="J34" i="1"/>
  <c r="J59" i="1"/>
  <c r="J71" i="1"/>
  <c r="J49" i="1"/>
  <c r="J3" i="1"/>
  <c r="J81" i="1"/>
  <c r="J80" i="1"/>
  <c r="J55" i="1"/>
  <c r="J53" i="1"/>
  <c r="J14" i="1"/>
  <c r="J79" i="1"/>
  <c r="J95" i="1"/>
  <c r="J51" i="1"/>
  <c r="J97" i="1"/>
  <c r="J101" i="1"/>
  <c r="J106" i="1"/>
  <c r="J92" i="1"/>
  <c r="J30" i="1"/>
  <c r="J100" i="1"/>
  <c r="J82" i="1"/>
  <c r="J28" i="1"/>
  <c r="J17" i="1"/>
  <c r="J29" i="1"/>
  <c r="J27" i="1"/>
  <c r="J32" i="1"/>
  <c r="J19" i="1"/>
  <c r="J64" i="1"/>
  <c r="J5" i="1"/>
  <c r="J33" i="1"/>
  <c r="J74" i="1"/>
  <c r="J66" i="1"/>
  <c r="J44" i="1"/>
  <c r="J58" i="1"/>
  <c r="J90" i="1"/>
  <c r="J99" i="1"/>
  <c r="J70" i="1"/>
  <c r="J65" i="1"/>
  <c r="J39" i="1"/>
  <c r="J104" i="1"/>
  <c r="J56" i="1"/>
  <c r="J21" i="1"/>
  <c r="J24" i="1"/>
  <c r="J54" i="1"/>
  <c r="J38" i="1"/>
  <c r="J88" i="1"/>
  <c r="J57" i="1"/>
  <c r="J69" i="1"/>
  <c r="J37" i="1"/>
  <c r="J62" i="1"/>
  <c r="J72" i="1"/>
  <c r="J63" i="1"/>
  <c r="J60" i="1"/>
  <c r="J15" i="1"/>
  <c r="J67" i="1"/>
  <c r="J43" i="1"/>
  <c r="J16" i="1"/>
  <c r="J85" i="1"/>
  <c r="J48" i="1"/>
  <c r="J26" i="1"/>
  <c r="J91" i="1"/>
  <c r="J68" i="1"/>
  <c r="J20" i="1"/>
  <c r="J50" i="1"/>
  <c r="J11" i="1"/>
  <c r="J45" i="1"/>
  <c r="J75" i="1"/>
  <c r="J46" i="1"/>
  <c r="J61" i="1"/>
  <c r="J36" i="1"/>
  <c r="J22" i="1"/>
  <c r="J78" i="1"/>
  <c r="J52" i="1"/>
  <c r="G27" i="1"/>
  <c r="G49" i="1"/>
  <c r="G104" i="1"/>
  <c r="G25" i="1"/>
  <c r="G34" i="1"/>
  <c r="G80" i="1"/>
  <c r="G97" i="1"/>
  <c r="G106" i="1"/>
  <c r="G31" i="1"/>
  <c r="G55" i="1"/>
  <c r="G56" i="1"/>
  <c r="G32" i="1"/>
  <c r="G3" i="1"/>
  <c r="G59" i="1"/>
  <c r="G18" i="1"/>
  <c r="G6" i="1"/>
  <c r="G83" i="1"/>
  <c r="G92" i="1"/>
  <c r="G53" i="1"/>
  <c r="G21" i="1"/>
  <c r="G24" i="1"/>
  <c r="G54" i="1"/>
  <c r="G19" i="1"/>
  <c r="G64" i="1"/>
  <c r="G108" i="1"/>
  <c r="G99" i="1"/>
  <c r="G105" i="1"/>
  <c r="G94" i="1"/>
  <c r="G5" i="1"/>
  <c r="G107" i="1"/>
  <c r="G110" i="1"/>
  <c r="G23" i="1"/>
  <c r="G76" i="1"/>
  <c r="G41" i="1"/>
  <c r="G30" i="1"/>
  <c r="G38" i="1"/>
  <c r="G88" i="1"/>
  <c r="G57" i="1"/>
  <c r="G69" i="1"/>
  <c r="G33" i="1"/>
  <c r="G14" i="1"/>
  <c r="G51" i="1"/>
  <c r="G100" i="1"/>
  <c r="G79" i="1"/>
  <c r="G37" i="1"/>
  <c r="G74" i="1"/>
  <c r="G70" i="1"/>
  <c r="G62" i="1"/>
  <c r="G71" i="1"/>
  <c r="G40" i="1"/>
  <c r="G2" i="1"/>
  <c r="G81" i="1"/>
  <c r="G65" i="1"/>
  <c r="G66" i="1"/>
  <c r="G8" i="1"/>
  <c r="G101" i="1"/>
  <c r="G72" i="1"/>
  <c r="G44" i="1"/>
  <c r="G82" i="1"/>
  <c r="G39" i="1"/>
  <c r="G63" i="1"/>
  <c r="G60" i="1"/>
  <c r="G15" i="1"/>
  <c r="G67" i="1"/>
  <c r="G28" i="1"/>
  <c r="G43" i="1"/>
  <c r="G16" i="1"/>
  <c r="G17" i="1"/>
  <c r="G29" i="1"/>
  <c r="G109" i="1"/>
  <c r="G85" i="1"/>
  <c r="G48" i="1"/>
  <c r="G26" i="1"/>
  <c r="G91" i="1"/>
  <c r="G58" i="1"/>
  <c r="G90" i="1"/>
  <c r="G68" i="1"/>
  <c r="G95" i="1"/>
  <c r="G35" i="1"/>
  <c r="G20" i="1"/>
  <c r="G50" i="1"/>
  <c r="G11" i="1"/>
  <c r="G45" i="1"/>
  <c r="G75" i="1"/>
  <c r="G46" i="1"/>
  <c r="G61" i="1"/>
  <c r="G36" i="1"/>
  <c r="G22" i="1"/>
  <c r="G78" i="1"/>
  <c r="G52" i="1"/>
  <c r="F27" i="1"/>
  <c r="F49" i="1"/>
  <c r="F104" i="1"/>
  <c r="F25" i="1"/>
  <c r="F34" i="1"/>
  <c r="F80" i="1"/>
  <c r="F97" i="1"/>
  <c r="F106" i="1"/>
  <c r="F31" i="1"/>
  <c r="F55" i="1"/>
  <c r="F56" i="1"/>
  <c r="F32" i="1"/>
  <c r="F3" i="1"/>
  <c r="F59" i="1"/>
  <c r="F18" i="1"/>
  <c r="F6" i="1"/>
  <c r="F83" i="1"/>
  <c r="F92" i="1"/>
  <c r="F53" i="1"/>
  <c r="F21" i="1"/>
  <c r="F24" i="1"/>
  <c r="F54" i="1"/>
  <c r="F19" i="1"/>
  <c r="F64" i="1"/>
  <c r="F108" i="1"/>
  <c r="F99" i="1"/>
  <c r="F105" i="1"/>
  <c r="F94" i="1"/>
  <c r="F5" i="1"/>
  <c r="F107" i="1"/>
  <c r="F110" i="1"/>
  <c r="F23" i="1"/>
  <c r="F76" i="1"/>
  <c r="F41" i="1"/>
  <c r="F30" i="1"/>
  <c r="F38" i="1"/>
  <c r="F88" i="1"/>
  <c r="F57" i="1"/>
  <c r="F69" i="1"/>
  <c r="F33" i="1"/>
  <c r="F14" i="1"/>
  <c r="F51" i="1"/>
  <c r="F100" i="1"/>
  <c r="F79" i="1"/>
  <c r="F37" i="1"/>
  <c r="F74" i="1"/>
  <c r="F70" i="1"/>
  <c r="F62" i="1"/>
  <c r="F71" i="1"/>
  <c r="F40" i="1"/>
  <c r="F2" i="1"/>
  <c r="F81" i="1"/>
  <c r="F65" i="1"/>
  <c r="F66" i="1"/>
  <c r="F8" i="1"/>
  <c r="F101" i="1"/>
  <c r="F72" i="1"/>
  <c r="F44" i="1"/>
  <c r="F82" i="1"/>
  <c r="F39" i="1"/>
  <c r="F63" i="1"/>
  <c r="F60" i="1"/>
  <c r="F15" i="1"/>
  <c r="F67" i="1"/>
  <c r="F28" i="1"/>
  <c r="F43" i="1"/>
  <c r="F16" i="1"/>
  <c r="F17" i="1"/>
  <c r="F29" i="1"/>
  <c r="F109" i="1"/>
  <c r="F85" i="1"/>
  <c r="F48" i="1"/>
  <c r="F26" i="1"/>
  <c r="F91" i="1"/>
  <c r="F58" i="1"/>
  <c r="F90" i="1"/>
  <c r="F68" i="1"/>
  <c r="F95" i="1"/>
  <c r="F35" i="1"/>
  <c r="F20" i="1"/>
  <c r="F50" i="1"/>
  <c r="F11" i="1"/>
  <c r="F45" i="1"/>
  <c r="F75" i="1"/>
  <c r="F46" i="1"/>
  <c r="F61" i="1"/>
  <c r="F36" i="1"/>
  <c r="F22" i="1"/>
  <c r="F78" i="1"/>
  <c r="F52" i="1"/>
  <c r="E27" i="1"/>
  <c r="E49" i="1"/>
  <c r="E104" i="1"/>
  <c r="E25" i="1"/>
  <c r="E34" i="1"/>
  <c r="E80" i="1"/>
  <c r="E97" i="1"/>
  <c r="E106" i="1"/>
  <c r="E31" i="1"/>
  <c r="E55" i="1"/>
  <c r="E56" i="1"/>
  <c r="E32" i="1"/>
  <c r="E3" i="1"/>
  <c r="E59" i="1"/>
  <c r="E18" i="1"/>
  <c r="E6" i="1"/>
  <c r="E83" i="1"/>
  <c r="E92" i="1"/>
  <c r="E53" i="1"/>
  <c r="E21" i="1"/>
  <c r="E24" i="1"/>
  <c r="E54" i="1"/>
  <c r="E19" i="1"/>
  <c r="E64" i="1"/>
  <c r="E108" i="1"/>
  <c r="E99" i="1"/>
  <c r="E105" i="1"/>
  <c r="E94" i="1"/>
  <c r="E5" i="1"/>
  <c r="E107" i="1"/>
  <c r="E110" i="1"/>
  <c r="E23" i="1"/>
  <c r="E76" i="1"/>
  <c r="E41" i="1"/>
  <c r="E30" i="1"/>
  <c r="E38" i="1"/>
  <c r="E88" i="1"/>
  <c r="E57" i="1"/>
  <c r="E69" i="1"/>
  <c r="E33" i="1"/>
  <c r="E14" i="1"/>
  <c r="E51" i="1"/>
  <c r="E100" i="1"/>
  <c r="E79" i="1"/>
  <c r="E37" i="1"/>
  <c r="E74" i="1"/>
  <c r="E70" i="1"/>
  <c r="E62" i="1"/>
  <c r="E71" i="1"/>
  <c r="E40" i="1"/>
  <c r="E2" i="1"/>
  <c r="E81" i="1"/>
  <c r="E65" i="1"/>
  <c r="E66" i="1"/>
  <c r="E8" i="1"/>
  <c r="E101" i="1"/>
  <c r="E72" i="1"/>
  <c r="E44" i="1"/>
  <c r="E82" i="1"/>
  <c r="E39" i="1"/>
  <c r="E63" i="1"/>
  <c r="E60" i="1"/>
  <c r="E15" i="1"/>
  <c r="E67" i="1"/>
  <c r="E28" i="1"/>
  <c r="E43" i="1"/>
  <c r="E16" i="1"/>
  <c r="E17" i="1"/>
  <c r="E29" i="1"/>
  <c r="E109" i="1"/>
  <c r="E85" i="1"/>
  <c r="E48" i="1"/>
  <c r="E26" i="1"/>
  <c r="E91" i="1"/>
  <c r="E58" i="1"/>
  <c r="E90" i="1"/>
  <c r="E68" i="1"/>
  <c r="E95" i="1"/>
  <c r="E35" i="1"/>
  <c r="E20" i="1"/>
  <c r="E50" i="1"/>
  <c r="E11" i="1"/>
  <c r="E45" i="1"/>
  <c r="E75" i="1"/>
  <c r="E46" i="1"/>
  <c r="E61" i="1"/>
  <c r="E36" i="1"/>
  <c r="E22" i="1"/>
  <c r="E78" i="1"/>
  <c r="E52" i="1"/>
  <c r="D27" i="1"/>
  <c r="D49" i="1"/>
  <c r="D104" i="1"/>
  <c r="D25" i="1"/>
  <c r="D34" i="1"/>
  <c r="D80" i="1"/>
  <c r="D97" i="1"/>
  <c r="D106" i="1"/>
  <c r="D31" i="1"/>
  <c r="D55" i="1"/>
  <c r="D56" i="1"/>
  <c r="D32" i="1"/>
  <c r="D3" i="1"/>
  <c r="D59" i="1"/>
  <c r="D18" i="1"/>
  <c r="D6" i="1"/>
  <c r="D83" i="1"/>
  <c r="D92" i="1"/>
  <c r="D53" i="1"/>
  <c r="D21" i="1"/>
  <c r="D24" i="1"/>
  <c r="D54" i="1"/>
  <c r="D19" i="1"/>
  <c r="D64" i="1"/>
  <c r="D108" i="1"/>
  <c r="D99" i="1"/>
  <c r="D105" i="1"/>
  <c r="D94" i="1"/>
  <c r="D5" i="1"/>
  <c r="D107" i="1"/>
  <c r="D110" i="1"/>
  <c r="D23" i="1"/>
  <c r="D76" i="1"/>
  <c r="D41" i="1"/>
  <c r="D30" i="1"/>
  <c r="D38" i="1"/>
  <c r="D88" i="1"/>
  <c r="D57" i="1"/>
  <c r="D69" i="1"/>
  <c r="D33" i="1"/>
  <c r="D14" i="1"/>
  <c r="D51" i="1"/>
  <c r="D100" i="1"/>
  <c r="D79" i="1"/>
  <c r="D37" i="1"/>
  <c r="D74" i="1"/>
  <c r="D70" i="1"/>
  <c r="D62" i="1"/>
  <c r="D71" i="1"/>
  <c r="D40" i="1"/>
  <c r="D2" i="1"/>
  <c r="D81" i="1"/>
  <c r="D65" i="1"/>
  <c r="D66" i="1"/>
  <c r="D8" i="1"/>
  <c r="D101" i="1"/>
  <c r="D72" i="1"/>
  <c r="D44" i="1"/>
  <c r="D82" i="1"/>
  <c r="D39" i="1"/>
  <c r="D63" i="1"/>
  <c r="D60" i="1"/>
  <c r="D15" i="1"/>
  <c r="D67" i="1"/>
  <c r="D28" i="1"/>
  <c r="D43" i="1"/>
  <c r="D16" i="1"/>
  <c r="D17" i="1"/>
  <c r="D29" i="1"/>
  <c r="D109" i="1"/>
  <c r="D85" i="1"/>
  <c r="D48" i="1"/>
  <c r="D26" i="1"/>
  <c r="D91" i="1"/>
  <c r="D58" i="1"/>
  <c r="D90" i="1"/>
  <c r="D68" i="1"/>
  <c r="D95" i="1"/>
  <c r="D35" i="1"/>
  <c r="D20" i="1"/>
  <c r="D50" i="1"/>
  <c r="D11" i="1"/>
  <c r="D45" i="1"/>
  <c r="D75" i="1"/>
  <c r="D46" i="1"/>
  <c r="D61" i="1"/>
  <c r="D36" i="1"/>
  <c r="D22" i="1"/>
  <c r="D78" i="1"/>
  <c r="D52" i="1"/>
  <c r="C27" i="1"/>
  <c r="C49" i="1"/>
  <c r="C104" i="1"/>
  <c r="C25" i="1"/>
  <c r="C34" i="1"/>
  <c r="C80" i="1"/>
  <c r="C97" i="1"/>
  <c r="C106" i="1"/>
  <c r="C31" i="1"/>
  <c r="C55" i="1"/>
  <c r="C56" i="1"/>
  <c r="C32" i="1"/>
  <c r="C3" i="1"/>
  <c r="C59" i="1"/>
  <c r="C18" i="1"/>
  <c r="C6" i="1"/>
  <c r="C83" i="1"/>
  <c r="C92" i="1"/>
  <c r="C53" i="1"/>
  <c r="C21" i="1"/>
  <c r="C24" i="1"/>
  <c r="C54" i="1"/>
  <c r="C19" i="1"/>
  <c r="C64" i="1"/>
  <c r="C108" i="1"/>
  <c r="C99" i="1"/>
  <c r="C105" i="1"/>
  <c r="C94" i="1"/>
  <c r="C5" i="1"/>
  <c r="C107" i="1"/>
  <c r="C110" i="1"/>
  <c r="C23" i="1"/>
  <c r="C76" i="1"/>
  <c r="C41" i="1"/>
  <c r="C30" i="1"/>
  <c r="C38" i="1"/>
  <c r="C88" i="1"/>
  <c r="C57" i="1"/>
  <c r="C69" i="1"/>
  <c r="C33" i="1"/>
  <c r="C14" i="1"/>
  <c r="C51" i="1"/>
  <c r="C100" i="1"/>
  <c r="C79" i="1"/>
  <c r="C37" i="1"/>
  <c r="C74" i="1"/>
  <c r="C70" i="1"/>
  <c r="C62" i="1"/>
  <c r="C71" i="1"/>
  <c r="C40" i="1"/>
  <c r="C2" i="1"/>
  <c r="C81" i="1"/>
  <c r="C65" i="1"/>
  <c r="C66" i="1"/>
  <c r="C8" i="1"/>
  <c r="C101" i="1"/>
  <c r="C72" i="1"/>
  <c r="C44" i="1"/>
  <c r="C82" i="1"/>
  <c r="C39" i="1"/>
  <c r="C63" i="1"/>
  <c r="C60" i="1"/>
  <c r="C15" i="1"/>
  <c r="C67" i="1"/>
  <c r="C28" i="1"/>
  <c r="C43" i="1"/>
  <c r="C16" i="1"/>
  <c r="C17" i="1"/>
  <c r="C29" i="1"/>
  <c r="C109" i="1"/>
  <c r="C85" i="1"/>
  <c r="C48" i="1"/>
  <c r="C26" i="1"/>
  <c r="C91" i="1"/>
  <c r="C58" i="1"/>
  <c r="C90" i="1"/>
  <c r="C68" i="1"/>
  <c r="C95" i="1"/>
  <c r="C35" i="1"/>
  <c r="C20" i="1"/>
  <c r="C50" i="1"/>
  <c r="C11" i="1"/>
  <c r="C45" i="1"/>
  <c r="C75" i="1"/>
  <c r="C46" i="1"/>
  <c r="C61" i="1"/>
  <c r="C36" i="1"/>
  <c r="C22" i="1"/>
  <c r="C78" i="1"/>
  <c r="C52" i="1"/>
  <c r="B49" i="1"/>
  <c r="B27" i="1"/>
  <c r="B104" i="1"/>
  <c r="B25" i="1"/>
  <c r="B34" i="1"/>
  <c r="B80" i="1"/>
  <c r="B97" i="1"/>
  <c r="B106" i="1"/>
  <c r="B31" i="1"/>
  <c r="B55" i="1"/>
  <c r="B56" i="1"/>
  <c r="B32" i="1"/>
  <c r="B3" i="1"/>
  <c r="B59" i="1"/>
  <c r="B18" i="1"/>
  <c r="B6" i="1"/>
  <c r="B83" i="1"/>
  <c r="B92" i="1"/>
  <c r="B53" i="1"/>
  <c r="B21" i="1"/>
  <c r="B24" i="1"/>
  <c r="B54" i="1"/>
  <c r="B19" i="1"/>
  <c r="B64" i="1"/>
  <c r="B108" i="1"/>
  <c r="B99" i="1"/>
  <c r="B105" i="1"/>
  <c r="B94" i="1"/>
  <c r="B5" i="1"/>
  <c r="B107" i="1"/>
  <c r="B110" i="1"/>
  <c r="B23" i="1"/>
  <c r="B76" i="1"/>
  <c r="B41" i="1"/>
  <c r="B30" i="1"/>
  <c r="B38" i="1"/>
  <c r="B88" i="1"/>
  <c r="B57" i="1"/>
  <c r="B69" i="1"/>
  <c r="B33" i="1"/>
  <c r="B14" i="1"/>
  <c r="B51" i="1"/>
  <c r="B100" i="1"/>
  <c r="B79" i="1"/>
  <c r="B37" i="1"/>
  <c r="B74" i="1"/>
  <c r="B70" i="1"/>
  <c r="B62" i="1"/>
  <c r="B71" i="1"/>
  <c r="B40" i="1"/>
  <c r="B2" i="1"/>
  <c r="B81" i="1"/>
  <c r="B65" i="1"/>
  <c r="B66" i="1"/>
  <c r="B8" i="1"/>
  <c r="B101" i="1"/>
  <c r="B72" i="1"/>
  <c r="B44" i="1"/>
  <c r="B82" i="1"/>
  <c r="B39" i="1"/>
  <c r="B63" i="1"/>
  <c r="B60" i="1"/>
  <c r="B15" i="1"/>
  <c r="B67" i="1"/>
  <c r="B28" i="1"/>
  <c r="B43" i="1"/>
  <c r="B16" i="1"/>
  <c r="B17" i="1"/>
  <c r="B29" i="1"/>
  <c r="B109" i="1"/>
  <c r="B85" i="1"/>
  <c r="B48" i="1"/>
  <c r="B26" i="1"/>
  <c r="B91" i="1"/>
  <c r="B58" i="1"/>
  <c r="B90" i="1"/>
  <c r="B68" i="1"/>
  <c r="B95" i="1"/>
  <c r="B35" i="1"/>
  <c r="B20" i="1"/>
  <c r="B50" i="1"/>
  <c r="B11" i="1"/>
  <c r="B45" i="1"/>
  <c r="B75" i="1"/>
  <c r="B46" i="1"/>
  <c r="B61" i="1"/>
  <c r="B36" i="1"/>
  <c r="B22" i="1"/>
  <c r="B78" i="1"/>
  <c r="B52" i="1"/>
  <c r="D28" i="11"/>
  <c r="D29" i="11"/>
  <c r="D30" i="11"/>
  <c r="F28" i="11"/>
  <c r="F29" i="11"/>
  <c r="F30" i="11"/>
  <c r="D34" i="5"/>
  <c r="D35" i="5"/>
  <c r="D36" i="5"/>
  <c r="D37" i="5"/>
  <c r="D38" i="5"/>
  <c r="F31" i="5"/>
  <c r="F32" i="5"/>
  <c r="F33" i="5"/>
  <c r="F34" i="5"/>
  <c r="F35" i="5"/>
  <c r="F36" i="5"/>
  <c r="F37" i="5"/>
  <c r="D23" i="13"/>
  <c r="D22" i="13"/>
  <c r="D21" i="13"/>
  <c r="D20" i="13"/>
  <c r="D19" i="13"/>
  <c r="D18" i="13"/>
  <c r="D17" i="13"/>
  <c r="D7" i="13"/>
  <c r="D6" i="13"/>
  <c r="D5" i="13"/>
  <c r="D4" i="13"/>
  <c r="D3" i="13"/>
  <c r="D2" i="13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26" i="4"/>
  <c r="D25" i="4"/>
  <c r="D24" i="4"/>
  <c r="D23" i="4"/>
  <c r="D22" i="4"/>
  <c r="D21" i="4"/>
  <c r="D20" i="4"/>
  <c r="D19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26" i="3"/>
  <c r="D25" i="3"/>
  <c r="D24" i="3"/>
  <c r="D23" i="3"/>
  <c r="D22" i="3"/>
  <c r="D21" i="3"/>
  <c r="D20" i="3"/>
  <c r="D19" i="3"/>
  <c r="D18" i="3"/>
  <c r="D17" i="3"/>
  <c r="D16" i="3"/>
  <c r="D15" i="3"/>
  <c r="D13" i="3"/>
  <c r="D14" i="3"/>
  <c r="D12" i="3"/>
  <c r="D11" i="3"/>
  <c r="D10" i="3"/>
  <c r="D9" i="3"/>
  <c r="D8" i="3"/>
  <c r="D7" i="3"/>
  <c r="D6" i="3"/>
  <c r="D5" i="3"/>
  <c r="D4" i="3"/>
  <c r="D3" i="3"/>
  <c r="D2" i="3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15" i="12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6" i="12"/>
  <c r="F17" i="12"/>
  <c r="F18" i="12"/>
  <c r="F19" i="12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" i="3"/>
  <c r="F3" i="3"/>
  <c r="F4" i="3"/>
  <c r="F5" i="3"/>
  <c r="F6" i="3"/>
  <c r="F7" i="3"/>
  <c r="F8" i="3"/>
  <c r="F9" i="3"/>
  <c r="F10" i="3"/>
  <c r="F11" i="3"/>
  <c r="F12" i="3"/>
  <c r="F14" i="3"/>
  <c r="F13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24" i="5"/>
  <c r="F15" i="5"/>
  <c r="F12" i="5"/>
  <c r="F18" i="5"/>
  <c r="F20" i="5"/>
  <c r="F21" i="5"/>
  <c r="F29" i="5"/>
  <c r="F27" i="5"/>
  <c r="F13" i="5"/>
  <c r="F10" i="5"/>
  <c r="F8" i="5"/>
  <c r="F14" i="5"/>
  <c r="F7" i="5"/>
  <c r="F9" i="5"/>
  <c r="F16" i="5"/>
  <c r="F19" i="5"/>
  <c r="F3" i="5"/>
  <c r="F5" i="5"/>
  <c r="F17" i="5"/>
  <c r="F22" i="5"/>
  <c r="F23" i="5"/>
  <c r="F6" i="5"/>
  <c r="F26" i="5"/>
  <c r="F30" i="5"/>
  <c r="F2" i="5"/>
  <c r="F11" i="5"/>
  <c r="F4" i="5"/>
  <c r="F25" i="5"/>
  <c r="F28" i="5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B26" i="2" l="1"/>
  <c r="B27" i="2"/>
  <c r="B28" i="2"/>
  <c r="C26" i="2"/>
  <c r="C27" i="2"/>
  <c r="C28" i="2"/>
  <c r="B22" i="2"/>
  <c r="B23" i="2"/>
  <c r="B19" i="2"/>
  <c r="B21" i="2"/>
  <c r="C22" i="2"/>
  <c r="C23" i="2"/>
  <c r="C19" i="2"/>
  <c r="C21" i="2"/>
  <c r="C2" i="2"/>
  <c r="B7" i="2"/>
  <c r="C20" i="2"/>
  <c r="C9" i="2"/>
  <c r="B13" i="2"/>
  <c r="C10" i="2"/>
  <c r="B15" i="2"/>
  <c r="C18" i="2"/>
  <c r="C6" i="2"/>
  <c r="B24" i="2"/>
  <c r="C7" i="2"/>
  <c r="B12" i="2"/>
  <c r="B5" i="2"/>
  <c r="C13" i="2"/>
  <c r="B16" i="2"/>
  <c r="B4" i="2"/>
  <c r="C15" i="2"/>
  <c r="B14" i="2"/>
  <c r="B11" i="2"/>
  <c r="C24" i="2"/>
  <c r="B17" i="2"/>
  <c r="B8" i="2"/>
  <c r="B3" i="2"/>
  <c r="C12" i="2"/>
  <c r="C5" i="2"/>
  <c r="B25" i="2"/>
  <c r="B2" i="2"/>
  <c r="C16" i="2"/>
  <c r="C4" i="2"/>
  <c r="B20" i="2"/>
  <c r="B9" i="2"/>
  <c r="C14" i="2"/>
  <c r="C11" i="2"/>
  <c r="B10" i="2"/>
  <c r="C17" i="2"/>
  <c r="C8" i="2"/>
  <c r="C3" i="2"/>
  <c r="B18" i="2"/>
  <c r="B6" i="2"/>
  <c r="C25" i="2"/>
  <c r="A29" i="2" l="1"/>
  <c r="D24" i="13"/>
  <c r="C24" i="13"/>
  <c r="D27" i="12"/>
  <c r="C27" i="12"/>
  <c r="D31" i="11"/>
  <c r="C31" i="11"/>
  <c r="D39" i="5" l="1"/>
  <c r="C39" i="5"/>
  <c r="D27" i="4"/>
  <c r="C27" i="4"/>
  <c r="D36" i="3"/>
  <c r="C36" i="3"/>
</calcChain>
</file>

<file path=xl/sharedStrings.xml><?xml version="1.0" encoding="utf-8"?>
<sst xmlns="http://schemas.openxmlformats.org/spreadsheetml/2006/main" count="62" uniqueCount="21">
  <si>
    <t>DABÉR</t>
  </si>
  <si>
    <t>VSTUPY CELKEM</t>
  </si>
  <si>
    <t>REPLIKY CELKEM</t>
  </si>
  <si>
    <t>POZNÁMKY</t>
  </si>
  <si>
    <t>POSTAVA</t>
  </si>
  <si>
    <t>1</t>
  </si>
  <si>
    <t>2</t>
  </si>
  <si>
    <t>3</t>
  </si>
  <si>
    <t>4</t>
  </si>
  <si>
    <t>5</t>
  </si>
  <si>
    <t>6</t>
  </si>
  <si>
    <t>VSTUPY</t>
  </si>
  <si>
    <t>REPLIKY</t>
  </si>
  <si>
    <t>Row Labels</t>
  </si>
  <si>
    <t>Sum of REPLIKY</t>
  </si>
  <si>
    <t>Sum of VSTUPY</t>
  </si>
  <si>
    <t>Grand Total</t>
  </si>
  <si>
    <t>Celkem</t>
  </si>
  <si>
    <t>(blank)</t>
  </si>
  <si>
    <t>KONTROLA DABÉRA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</si>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</sst>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FFD966"/>
      </top>
      <bottom style="thin">
        <color rgb="FFFFD966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0" fillId="0" borderId="0" xfId="0" pivotButton="1"/>
    <xf numFmtId="0" fontId="3" fillId="0" borderId="2" xfId="0" applyFont="1" applyBorder="1" applyAlignment="1">
      <alignment horizontal="center" vertical="center"/>
    </xf>
    <xf numFmtId="0" fontId="1" fillId="0" borderId="0" xfId="0" applyFont="1"/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1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0000"/>
          <bgColor rgb="FFFF00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1" formatCode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</dxf>
    <dxf>
      <font>
        <name val="Arial"/>
        <family val="2"/>
        <scheme val="none"/>
      </font>
      <numFmt numFmtId="0" formatCode="General"/>
    </dxf>
    <dxf>
      <numFmt numFmtId="1" formatCode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 Kiulpekidis" refreshedDate="46039.431331250002" createdVersion="8" refreshedVersion="8" minRefreshableVersion="3" recordCount="109" xr:uid="{F8ADA18E-0C5C-844A-ADA0-842FE1F1D528}">
  <cacheSource type="worksheet">
    <worksheetSource name="KOMPLET"/>
  </cacheSource>
  <cacheFields count="11">
    <cacheField name="POSTAVA" numFmtId="0">
      <sharedItems containsNonDate="0" containsString="0" containsBlank="1"/>
    </cacheField>
    <cacheField name="1" numFmtId="0">
      <sharedItems/>
    </cacheField>
    <cacheField name="2" numFmtId="0">
      <sharedItems/>
    </cacheField>
    <cacheField name="3" numFmtId="0">
      <sharedItems/>
    </cacheField>
    <cacheField name="4" numFmtId="0">
      <sharedItems/>
    </cacheField>
    <cacheField name="5" numFmtId="0">
      <sharedItems/>
    </cacheField>
    <cacheField name="6" numFmtId="0">
      <sharedItems/>
    </cacheField>
    <cacheField name="DABÉR" numFmtId="0">
      <sharedItems containsNonDate="0" containsBlank="1" count="74">
        <m/>
        <s v="Filip Švarc" u="1"/>
        <s v="Ivo Hrbáč" u="1"/>
        <s v="Kristýna Jelínková" u="1"/>
        <s v="Jan Battěk" u="1"/>
        <s v="Pavel Dytrt" u="1"/>
        <s v="Marek Libert" u="1"/>
        <s v="Johana Krtičková" u="1"/>
        <s v="Johana Nováčková" u="1"/>
        <s v="Ladislav Cigánek" u="1"/>
        <s v="Pavel Tesař" u="1"/>
        <s v="Jan Szymik" u="1"/>
        <s v="Lenka Netušilová" u="1"/>
        <s v="Marek Holý" u="1"/>
        <s v="Martin Überall" u="1"/>
        <s v="xxx" u="1"/>
        <s v="Radke Hoppe" u="1"/>
        <s v="Petr Gelnar" u="1"/>
        <s v="Martin Zahálka" u="1"/>
        <s v="Bohuslav Kalva" u="1"/>
        <s v="Nikola Votočková" u="1"/>
        <s v="Kateřina Peřinová" u="1"/>
        <s v="Roman Hajlich" u="1"/>
        <s v="Sbor (mix 2+2)" u="1"/>
        <s v="Štěpán Krtička" u="1"/>
        <s v="Filip Jančík" u="1"/>
        <s v="Nina Horáková" u="1"/>
        <s v="Marek Lambora" u="1"/>
        <s v="Sbor" u="1"/>
        <s v="Svatopluk Schuller" u="1"/>
        <s v="David Voráček" u="1"/>
        <s v="Václav Šanda" u="1"/>
        <s v="Anna Brousková" u="1"/>
        <s v="Antonín Navrátil" u="1"/>
        <s v="Bohdan Tůma" u="1"/>
        <s v="Dana Černá" u="1"/>
        <s v="Daniela Bartáková" u="1"/>
        <s v="Jiří Krejčí" u="1"/>
        <s v="Johana Nováčková (může pak i do sboru)" u="1"/>
        <s v="Lucie Svobodová" u="1"/>
        <s v="Luděk Čtvrtlík" u="1"/>
        <s v="Malý kluk PŘED mutací odvedle" u="1"/>
        <s v="Martin Janouš" u="1"/>
        <s v="Petra Hobzová" u="1"/>
        <s v="Radovan Klučka" u="1"/>
        <s v="Regina Řandová" u="1"/>
        <s v="René Slováčková" u="1"/>
        <s v="Richard Wágner" u="1"/>
        <s v="ŠÁRKA VONDROVÁ" u="1"/>
        <s v="Tomáš Juřička" u="1"/>
        <s v="Viktor Dvořák" u="1"/>
        <s v="Zdeněk Mahdal" u="1"/>
        <s v="Zdeněk Podhůrský" u="1"/>
        <s v="Zlata Adamovská" u="1"/>
        <s v="HANA KRTIČKOVÁ" u="1"/>
        <s v="Jan Šťastný" u="1"/>
        <s v="Jitka Moučková" u="1"/>
        <s v="Michal Jagelka" u="1"/>
        <s v="Robert Hájek" u="1"/>
        <s v="Adéla Kubačáková" u="1"/>
        <s v="Adéla Nováková" u="1"/>
        <s v="Dagmar Křížová" u="1"/>
        <s v="Kateřina Lojdová" u="1"/>
        <s v="Klára Nováková" u="1"/>
        <s v="Libor Terš" u="1"/>
        <s v="Pavlína Dytrtová" u="1"/>
        <s v="Malvína Pachlová" u="1"/>
        <s v="Martin Sobotka" u="1"/>
        <s v="Radek Škvor" u="1"/>
        <s v="Zbyšek Horák" u="1"/>
        <s v="Zuzana Slavíková" u="1"/>
        <s v="Lucie Kušnírová" u="1"/>
        <s v="MOŽNÁ DORKA???" u="1"/>
        <s v="Richard Hájek" u="1"/>
      </sharedItems>
    </cacheField>
    <cacheField name="VSTUPY" numFmtId="0">
      <sharedItems containsSemiMixedTypes="0" containsString="0" containsNumber="1" containsInteger="1" minValue="0" maxValue="0"/>
    </cacheField>
    <cacheField name="REPLIKY" numFmtId="0">
      <sharedItems containsSemiMixedTypes="0" containsString="0" containsNumber="1" containsInteger="1" minValue="0" maxValue="0"/>
    </cacheField>
    <cacheField name="POZNÁMK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  <r>
    <m/>
    <s v=" / "/>
    <s v=" / "/>
    <s v=" / "/>
    <s v=" / "/>
    <s v=" / "/>
    <s v=" / "/>
    <x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54317-9974-4345-BB45-D1C09D8189A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C3" firstHeaderRow="0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5">
        <item x="0"/>
        <item m="1" x="69"/>
        <item m="1" x="28"/>
        <item m="1" x="58"/>
        <item m="1" x="46"/>
        <item m="1" x="68"/>
        <item m="1" x="17"/>
        <item m="1" x="10"/>
        <item m="1" x="72"/>
        <item m="1" x="18"/>
        <item m="1" x="67"/>
        <item m="1" x="6"/>
        <item m="1" x="66"/>
        <item m="1" x="64"/>
        <item m="1" x="21"/>
        <item m="1" x="37"/>
        <item m="1" x="4"/>
        <item m="1" x="30"/>
        <item m="1" x="61"/>
        <item m="1" x="60"/>
        <item m="1" x="73"/>
        <item m="1" x="70"/>
        <item m="1" x="2"/>
        <item m="1" x="65"/>
        <item m="1" x="71"/>
        <item m="1" x="5"/>
        <item m="1" x="62"/>
        <item m="1" x="63"/>
        <item m="1" x="47"/>
        <item m="1" x="59"/>
        <item m="1" x="50"/>
        <item m="1" x="15"/>
        <item m="1" x="3"/>
        <item m="1" x="26"/>
        <item m="1" x="33"/>
        <item m="1" x="19"/>
        <item m="1" x="1"/>
        <item m="1" x="56"/>
        <item m="1" x="54"/>
        <item m="1" x="48"/>
        <item m="1" x="49"/>
        <item m="1" x="52"/>
        <item m="1" x="32"/>
        <item m="1" x="55"/>
        <item m="1" x="53"/>
        <item m="1" x="34"/>
        <item m="1" x="45"/>
        <item m="1" x="35"/>
        <item m="1" x="36"/>
        <item m="1" x="42"/>
        <item m="1" x="57"/>
        <item m="1" x="40"/>
        <item m="1" x="38"/>
        <item m="1" x="41"/>
        <item m="1" x="39"/>
        <item m="1" x="20"/>
        <item m="1" x="43"/>
        <item m="1" x="44"/>
        <item m="1" x="29"/>
        <item m="1" x="51"/>
        <item m="1" x="25"/>
        <item m="1" x="7"/>
        <item m="1" x="27"/>
        <item m="1" x="13"/>
        <item m="1" x="16"/>
        <item m="1" x="24"/>
        <item m="1" x="11"/>
        <item m="1" x="31"/>
        <item m="1" x="9"/>
        <item m="1" x="14"/>
        <item m="1" x="12"/>
        <item m="1" x="8"/>
        <item m="1" x="22"/>
        <item m="1"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showAll="0"/>
  </pivotFields>
  <rowFields count="1">
    <field x="7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PLIKY" fld="9" baseField="0" baseItem="0"/>
    <dataField name="Sum of VSTUP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AB654B-42DD-E548-B821-F0C2F491D37F}" name="Tabulka17" displayName="Tabulka17" ref="A1:D29" totalsRowCount="1" headerRowDxfId="110" dataDxfId="109">
  <autoFilter ref="A1:D28" xr:uid="{81426270-5230-D047-9A2D-0E57C4981998}"/>
  <sortState xmlns:xlrd2="http://schemas.microsoft.com/office/spreadsheetml/2017/richdata2" ref="A2:D25">
    <sortCondition descending="1" ref="B1:B25"/>
  </sortState>
  <tableColumns count="4">
    <tableColumn id="1" xr3:uid="{2C3E89F8-EB86-0848-8435-F99B32A6E506}" name="DABÉR" totalsRowFunction="custom" totalsRowDxfId="108">
      <totalsRowFormula>_xlfn.CONCAT("JEŠTĚ CHYBÍ DOPLNIT "&amp;COUNTBLANK(KOMPLET[DABÉR]) &amp;" POSTAV, ",SUMIF(KOMPLET[DABÉR],"",KOMPLET[VSTUPY])," VSTUPŮ A ",SUMIF(KOMPLET[DABÉR],"",KOMPLET[REPLIKY])," REPLIK.")</totalsRowFormula>
    </tableColumn>
    <tableColumn id="3" xr3:uid="{FD880B01-A884-5C43-870A-F76C0429A2F0}" name="VSTUPY CELKEM" dataDxfId="107" totalsRowDxfId="106">
      <calculatedColumnFormula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calculatedColumnFormula>
    </tableColumn>
    <tableColumn id="4" xr3:uid="{802A993F-51BF-A64B-8708-92BBBCF81B17}" name="REPLIKY CELKEM" dataDxfId="105" totalsRowDxfId="104">
      <calculatedColumnFormula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calculatedColumnFormula>
    </tableColumn>
    <tableColumn id="9" xr3:uid="{2775E3FB-58D9-0C46-94F9-9F3DCD5ECB7D}" name="POZNÁMKY" dataDxfId="103" totalsRowDxfId="10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2B672-358C-DE4D-8BC3-F0ED7B2F479C}" name="KOMPLET" displayName="KOMPLET" ref="A1:K111" totalsRowCount="1" headerRowDxfId="101" dataDxfId="100">
  <autoFilter ref="A1:K110" xr:uid="{592F6353-70DE-B947-9D39-0FA620E0F8F4}"/>
  <sortState xmlns:xlrd2="http://schemas.microsoft.com/office/spreadsheetml/2017/richdata2" ref="A2:K105">
    <sortCondition ref="H1:H110"/>
  </sortState>
  <tableColumns count="11">
    <tableColumn id="1" xr3:uid="{E3C72E7B-63AA-434A-B4BE-853857974BCD}" name="POSTAVA" dataDxfId="99" totalsRowDxfId="98"/>
    <tableColumn id="6" xr3:uid="{79CA1E13-EE2B-7E4A-BA6D-F304FCCB3768}" name="1" dataDxfId="97" totalsRowDxfId="96">
      <calculatedColumnFormula>_xlfn.CONCAT(_xlfn.XLOOKUP(KOMPLET[[#This Row],[POSTAVA]],I[POSTAVA],I[VSTUPY],0)," / ",_xlfn.XLOOKUP(KOMPLET[[#This Row],[POSTAVA]],I[POSTAVA],I[REPLIKY],0))</calculatedColumnFormula>
    </tableColumn>
    <tableColumn id="8" xr3:uid="{A0F19710-8E48-0E4D-B4AB-A650E317C46D}" name="2" dataDxfId="95" totalsRowDxfId="94">
      <calculatedColumnFormula>_xlfn.CONCAT(_xlfn.XLOOKUP(KOMPLET[[#This Row],[POSTAVA]],II[POSTAVA],II[VSTUPY],0)," / ",_xlfn.XLOOKUP(KOMPLET[[#This Row],[POSTAVA]],II[POSTAVA],II[REPLIKY],0))</calculatedColumnFormula>
    </tableColumn>
    <tableColumn id="7" xr3:uid="{E1CA95CC-D7E7-B046-B98F-0A5AFD504FC6}" name="3" dataDxfId="93" totalsRowDxfId="92">
      <calculatedColumnFormula>_xlfn.CONCAT(_xlfn.XLOOKUP(KOMPLET[[#This Row],[POSTAVA]],III[POSTAVA],III[VSTUPY],0)," / ",_xlfn.XLOOKUP(KOMPLET[[#This Row],[POSTAVA]],III[POSTAVA],III[REPLIKY],0))</calculatedColumnFormula>
    </tableColumn>
    <tableColumn id="10" xr3:uid="{53EA27B4-FF2A-BD4D-89D7-97CBAC49CB9E}" name="4" dataDxfId="91" totalsRowDxfId="90">
      <calculatedColumnFormula>_xlfn.CONCAT(_xlfn.XLOOKUP(KOMPLET[[#This Row],[POSTAVA]],IV[POSTAVA],IV[VSTUPY],0)," / ",_xlfn.XLOOKUP(KOMPLET[[#This Row],[POSTAVA]],IV[POSTAVA],IV[REPLIKY],0))</calculatedColumnFormula>
    </tableColumn>
    <tableColumn id="11" xr3:uid="{603BB277-53B1-7A41-B5A9-E6CD12AFE851}" name="5" dataDxfId="89" totalsRowDxfId="88">
      <calculatedColumnFormula>_xlfn.CONCAT(_xlfn.XLOOKUP(KOMPLET[[#This Row],[POSTAVA]],V[POSTAVA],V[VSTUPY],0)," / ",_xlfn.XLOOKUP(KOMPLET[[#This Row],[POSTAVA]],V[POSTAVA],V[REPLIKY],0))</calculatedColumnFormula>
    </tableColumn>
    <tableColumn id="13" xr3:uid="{EE57D6B9-5894-6640-8D59-CB3FE39421D1}" name="6" dataDxfId="87" totalsRowDxfId="86">
      <calculatedColumnFormula>_xlfn.CONCAT(_xlfn.XLOOKUP(KOMPLET[[#This Row],[POSTAVA]],VI[POSTAVA],VI[VSTUPY],0)," / ",_xlfn.XLOOKUP(KOMPLET[[#This Row],[POSTAVA]],VI[POSTAVA],VI[REPLIKY],0))</calculatedColumnFormula>
    </tableColumn>
    <tableColumn id="2" xr3:uid="{0581E3DE-83F4-F641-B228-F21467B75F87}" name="DABÉR" totalsRowDxfId="85"/>
    <tableColumn id="3" xr3:uid="{01E9B54C-FC15-264F-9143-AB241500EBDE}" name="VSTUPY" dataDxfId="84" totalsRowDxfId="83">
      <calculatedColumnFormula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calculatedColumnFormula>
    </tableColumn>
    <tableColumn id="4" xr3:uid="{FB5279E8-DBBF-F149-87F9-54885325C4E0}" name="REPLIKY" dataDxfId="82" totalsRowDxfId="81">
      <calculatedColumnFormula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calculatedColumnFormula>
    </tableColumn>
    <tableColumn id="9" xr3:uid="{801A1F2F-9998-334A-B41A-05E50BA40411}" name="POZNÁMKY" dataDxfId="80" totalsRowDxfId="79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ADFA88-B0BE-8046-8F9F-A213AB52B1ED}" name="I" displayName="I" ref="A1:F36" totalsRowCount="1" headerRowDxfId="78" dataDxfId="77">
  <autoFilter ref="A1:F35" xr:uid="{567B4724-4205-9745-8097-5A810A3DBDAD}"/>
  <sortState xmlns:xlrd2="http://schemas.microsoft.com/office/spreadsheetml/2017/richdata2" ref="A2:F35">
    <sortCondition ref="A1:A35"/>
  </sortState>
  <tableColumns count="6">
    <tableColumn id="1" xr3:uid="{EF3B13D6-BD44-0D46-875E-227BE920D888}" name="POSTAVA" totalsRowLabel="Celkem" dataDxfId="76" totalsRowDxfId="34"/>
    <tableColumn id="2" xr3:uid="{ACB1BD4D-6C84-CF43-B66A-70744D50E45C}" name="VSTUPY" totalsRowFunction="sum" dataDxfId="75" totalsRowDxfId="33"/>
    <tableColumn id="3" xr3:uid="{FE18980B-2CF3-4A48-B78D-014E202C747C}" name="REPLIKY" totalsRowFunction="custom" dataDxfId="74" totalsRowDxfId="32">
      <totalsRowFormula>SUBTOTAL(9,I[REPLIKY])</totalsRowFormula>
    </tableColumn>
    <tableColumn id="4" xr3:uid="{0BAC8F56-FC29-4148-A84C-C8713FEA09C4}" name="DABÉR" totalsRowFunction="custom" dataDxfId="73" totalsRowDxfId="31">
      <calculatedColumnFormula>IF(_xlfn.XLOOKUP(I[[#This Row],[POSTAVA]],KOMPLET[POSTAVA],KOMPLET[DABÉR],"CHYBÍ POSTAVA V KOMPLET")=0,"NIKDO",_xlfn.XLOOKUP(I[[#This Row],[POSTAVA]],KOMPLET[POSTAVA],KOMPLET[DABÉR],"CHYBÍ POSTAVA V KOMPLET"))</calculatedColumnFormula>
      <totalsRowFormula>SUBTOTAL(9,I[DABÉR])</totalsRowFormula>
    </tableColumn>
    <tableColumn id="5" xr3:uid="{52E7DDA4-D78F-9845-8A37-7A298092D6A8}" name="KONTROLA DABÉRA" totalsRowDxfId="30"/>
    <tableColumn id="6" xr3:uid="{5A400899-65BD-DE45-86FB-40D59802F077}" name="TEST" dataDxfId="72" totalsRowDxfId="29">
      <calculatedColumnFormula>EXACT(UPPER(I[[#This Row],[POSTAVA]]),UPPER(I[[#This Row],[KONTROLA DABÉRA]]))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591EA4-B5A9-CC43-9911-DAE80D1B6470}" name="II" displayName="II" ref="A1:F27" totalsRowCount="1" dataDxfId="71">
  <autoFilter ref="A1:F26" xr:uid="{443FD022-4926-7D47-A1F1-C456BE2B2AB3}"/>
  <sortState xmlns:xlrd2="http://schemas.microsoft.com/office/spreadsheetml/2017/richdata2" ref="A2:F25">
    <sortCondition ref="A1:A25"/>
  </sortState>
  <tableColumns count="6">
    <tableColumn id="1" xr3:uid="{3D2AC1F6-2BB7-2B42-A90F-2326B14AF75E}" name="POSTAVA" totalsRowLabel="Celkem" totalsRowDxfId="28"/>
    <tableColumn id="2" xr3:uid="{76074388-5D21-214E-BA38-5F127ADF6EB0}" name="VSTUPY" totalsRowFunction="sum" totalsRowDxfId="27"/>
    <tableColumn id="3" xr3:uid="{110DE79A-8079-E544-B46F-D73BA6DFB947}" name="REPLIKY" totalsRowFunction="custom" totalsRowDxfId="26">
      <totalsRowFormula>SUBTOTAL(9,II[REPLIKY])</totalsRowFormula>
    </tableColumn>
    <tableColumn id="4" xr3:uid="{2ADF3CCC-C22B-7F4A-9D2B-6F7DCBE67DD7}" name="DABÉR" totalsRowFunction="custom" dataDxfId="70" totalsRowDxfId="25">
      <calculatedColumnFormula>IF(_xlfn.XLOOKUP(II[[#This Row],[POSTAVA]],KOMPLET[POSTAVA],KOMPLET[DABÉR],"CHYBÍ POSTAVA V KOMPLET")=0,"NIKDO",_xlfn.XLOOKUP(II[[#This Row],[POSTAVA]],KOMPLET[POSTAVA],KOMPLET[DABÉR],"CHYBÍ POSTAVA V KOMPLET"))</calculatedColumnFormula>
      <totalsRowFormula>SUBTOTAL(9,II[DABÉR])</totalsRowFormula>
    </tableColumn>
    <tableColumn id="5" xr3:uid="{1087837E-FA80-094E-9419-1B7F7D4CB430}" name="KONTROLA DABÉRA" totalsRowDxfId="24"/>
    <tableColumn id="6" xr3:uid="{A68F2980-2C04-644B-9B82-8FB57EA4110D}" name="TEST" dataDxfId="69" totalsRowDxfId="23">
      <calculatedColumnFormula>EXACT(UPPER(II[[#This Row],[POSTAVA]]),UPPER(II[[#This Row],[KONTROLA DABÉRA]]))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B820F2-9198-A64B-9C3C-75237209271F}" name="III" displayName="III" ref="A1:F39" totalsRowCount="1" dataDxfId="68">
  <autoFilter ref="A1:F38" xr:uid="{EEFCFC7F-5E6E-5943-B1AC-65FD2FB2A19B}"/>
  <sortState xmlns:xlrd2="http://schemas.microsoft.com/office/spreadsheetml/2017/richdata2" ref="A2:F37">
    <sortCondition ref="A1:A37"/>
  </sortState>
  <tableColumns count="6">
    <tableColumn id="1" xr3:uid="{030CD35B-C1C7-8A42-ACB8-E6E54F2EFC5C}" name="POSTAVA" totalsRowLabel="Celkem" totalsRowDxfId="22"/>
    <tableColumn id="2" xr3:uid="{200C6C46-9351-1740-BACC-7C0EDE9C4C74}" name="VSTUPY" totalsRowFunction="sum" totalsRowDxfId="21"/>
    <tableColumn id="3" xr3:uid="{8FF1BC5E-DC00-2847-B62D-BA186ECF6493}" name="REPLIKY" totalsRowFunction="custom" totalsRowDxfId="20">
      <totalsRowFormula>SUBTOTAL(9,III[REPLIKY])</totalsRowFormula>
    </tableColumn>
    <tableColumn id="4" xr3:uid="{4351D7EF-4D85-3A41-AFC2-41DFA48DE54B}" name="DABÉR" totalsRowFunction="custom" dataDxfId="67" totalsRowDxfId="19">
      <calculatedColumnFormula>IF(_xlfn.XLOOKUP(III[[#This Row],[POSTAVA]],KOMPLET[POSTAVA],KOMPLET[DABÉR],"CHYBÍ POSTAVA V KOMPLET")=0,"NIKDO",_xlfn.XLOOKUP(III[[#This Row],[POSTAVA]],KOMPLET[POSTAVA],KOMPLET[DABÉR],"CHYBÍ POSTAVA V KOMPLET"))</calculatedColumnFormula>
      <totalsRowFormula>SUBTOTAL(9,III[DABÉR])</totalsRowFormula>
    </tableColumn>
    <tableColumn id="5" xr3:uid="{26AA4C85-EBB4-074B-BB00-D96149C716E6}" name="KONTROLA DABÉRA" totalsRowDxfId="18"/>
    <tableColumn id="6" xr3:uid="{3B102178-1C28-864E-8C08-10F5389EF5C7}" name="TEST" dataDxfId="66" totalsRowDxfId="17">
      <calculatedColumnFormula>EXACT(UPPER(III[[#This Row],[POSTAVA]]),UPPER(III[[#This Row],[KONTROLA DABÉRA]]))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021105-D98B-F544-9686-E433A7F9AD8D}" name="IV" displayName="IV" ref="A1:F31" totalsRowCount="1" dataDxfId="65">
  <autoFilter ref="A1:F30" xr:uid="{68921B1A-2721-3F4D-BCC9-AD8BDA874208}"/>
  <sortState xmlns:xlrd2="http://schemas.microsoft.com/office/spreadsheetml/2017/richdata2" ref="A2:F30">
    <sortCondition ref="A1:A30"/>
  </sortState>
  <tableColumns count="6">
    <tableColumn id="1" xr3:uid="{E816B77E-9099-C043-93A5-1EBB4BC03D75}" name="POSTAVA" totalsRowLabel="Celkem" dataDxfId="64" totalsRowDxfId="16"/>
    <tableColumn id="2" xr3:uid="{BCC57E74-6FCA-6148-AD1F-0C00A63B5CB0}" name="VSTUPY" totalsRowFunction="sum" dataDxfId="63" totalsRowDxfId="15"/>
    <tableColumn id="3" xr3:uid="{A622066F-D46F-D540-ACD5-D00E5F1CA16D}" name="REPLIKY" totalsRowFunction="custom" dataDxfId="62" totalsRowDxfId="14">
      <totalsRowFormula>SUBTOTAL(9,IV[REPLIKY])</totalsRowFormula>
    </tableColumn>
    <tableColumn id="4" xr3:uid="{D06A5214-E336-3944-94A2-7195C7A6EB70}" name="DABÉR" totalsRowFunction="custom" dataDxfId="61" totalsRowDxfId="13">
      <calculatedColumnFormula>IF(_xlfn.XLOOKUP(IV[[#This Row],[POSTAVA]],KOMPLET[POSTAVA],KOMPLET[DABÉR],"CHYBÍ POSTAVA V KOMPLET")=0,"NIKDO",_xlfn.XLOOKUP(IV[[#This Row],[POSTAVA]],KOMPLET[POSTAVA],KOMPLET[DABÉR],"CHYBÍ POSTAVA V KOMPLET"))</calculatedColumnFormula>
      <totalsRowFormula>SUBTOTAL(9,IV[DABÉR])</totalsRowFormula>
    </tableColumn>
    <tableColumn id="5" xr3:uid="{37DEB1B9-DDB5-1642-AB56-A906E75D08C0}" name="KONTROLA DABÉRA" totalsRowDxfId="12"/>
    <tableColumn id="6" xr3:uid="{3EAC106A-32C2-9748-B814-28C245E0D1BD}" name="TEST" dataDxfId="60" totalsRowDxfId="11">
      <calculatedColumnFormula>EXACT(UPPER(IV[[#This Row],[POSTAVA]]),UPPER(IV[[#This Row],[KONTROLA DABÉRA]]))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CEF83E4-6ECE-EF40-8D7F-3E328A95853D}" name="V" displayName="V" ref="A1:F27" totalsRowCount="1" dataDxfId="59">
  <autoFilter ref="A1:F26" xr:uid="{05F5396D-938F-EA4F-9FFE-EEAB096FBCE3}"/>
  <sortState xmlns:xlrd2="http://schemas.microsoft.com/office/spreadsheetml/2017/richdata2" ref="A2:F26">
    <sortCondition ref="A1:A26"/>
  </sortState>
  <tableColumns count="6">
    <tableColumn id="1" xr3:uid="{BD7E2F09-CD22-6341-8CE3-64BB7563075A}" name="POSTAVA" totalsRowLabel="Celkem" dataDxfId="58" totalsRowDxfId="10"/>
    <tableColumn id="2" xr3:uid="{D85CCDC6-07AC-C240-BDF9-7C8BEF4D8B90}" name="VSTUPY" totalsRowFunction="sum" dataDxfId="57" totalsRowDxfId="9"/>
    <tableColumn id="3" xr3:uid="{0716C717-2667-CB4F-8539-858D510C542C}" name="REPLIKY" totalsRowFunction="custom" dataDxfId="56" totalsRowDxfId="8">
      <totalsRowFormula>SUBTOTAL(9,V[REPLIKY])</totalsRowFormula>
    </tableColumn>
    <tableColumn id="4" xr3:uid="{837F70A8-13C9-FC44-A63F-466880C67C1F}" name="DABÉR" totalsRowFunction="custom" dataDxfId="55" totalsRowDxfId="7">
      <calculatedColumnFormula>IF(_xlfn.XLOOKUP(V[[#This Row],[POSTAVA]],KOMPLET[POSTAVA],KOMPLET[DABÉR],"CHYBÍ POSTAVA V KOMPLET")=0,"NIKDO",_xlfn.XLOOKUP(V[[#This Row],[POSTAVA]],KOMPLET[POSTAVA],KOMPLET[DABÉR],"CHYBÍ POSTAVA V KOMPLET"))</calculatedColumnFormula>
      <totalsRowFormula>SUBTOTAL(9,V[DABÉR])</totalsRowFormula>
    </tableColumn>
    <tableColumn id="5" xr3:uid="{5557824F-F87A-DD42-A1B9-4440FFAABF8D}" name="KONTROLA DABÉRA"/>
    <tableColumn id="6" xr3:uid="{3E68E932-DF53-A648-B5FC-99C621501C30}" name="TEST" dataDxfId="54" totalsRowDxfId="6">
      <calculatedColumnFormula>EXACT(UPPER(V[[#This Row],[POSTAVA]]),UPPER(V[[#This Row],[KONTROLA DABÉRA]]))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209CA0-A976-5C42-A569-A31598F0BB1D}" name="VI" displayName="VI" ref="A1:F24" totalsRowCount="1" dataDxfId="53">
  <autoFilter ref="A1:F23" xr:uid="{C31BB5D7-DE26-CD4F-A4F2-18F89F036114}"/>
  <sortState xmlns:xlrd2="http://schemas.microsoft.com/office/spreadsheetml/2017/richdata2" ref="A2:F23">
    <sortCondition ref="A1:A23"/>
  </sortState>
  <tableColumns count="6">
    <tableColumn id="1" xr3:uid="{B0932456-1A84-7D47-A510-7F80417DC762}" name="POSTAVA" totalsRowLabel="Celkem" totalsRowDxfId="5"/>
    <tableColumn id="2" xr3:uid="{3D45E272-D506-BD40-88DD-A25BC1992B92}" name="VSTUPY" totalsRowFunction="sum" totalsRowDxfId="4"/>
    <tableColumn id="3" xr3:uid="{129FF0BA-1FFC-1443-8309-CF91FAD22CAD}" name="REPLIKY" totalsRowFunction="custom" totalsRowDxfId="3">
      <totalsRowFormula>SUBTOTAL(9,VI[REPLIKY])</totalsRowFormula>
    </tableColumn>
    <tableColumn id="4" xr3:uid="{FCBBB466-39F1-9041-8FBE-B6A4EC3497E7}" name="DABÉR" totalsRowFunction="custom" dataDxfId="52" totalsRowDxfId="2">
      <calculatedColumnFormula>IF(_xlfn.XLOOKUP(VI[[#This Row],[POSTAVA]],KOMPLET[POSTAVA],KOMPLET[DABÉR],"CHYBÍ POSTAVA V KOMPLET")=0,"NIKDO",_xlfn.XLOOKUP(VI[[#This Row],[POSTAVA]],KOMPLET[POSTAVA],KOMPLET[DABÉR],"CHYBÍ POSTAVA V KOMPLET"))</calculatedColumnFormula>
      <totalsRowFormula>SUBTOTAL(9,VI[DABÉR])</totalsRowFormula>
    </tableColumn>
    <tableColumn id="5" xr3:uid="{B7296CA6-5851-A84F-A83C-7CDD261CB34A}" name="KONTROLA DABÉRA" totalsRowDxfId="1"/>
    <tableColumn id="6" xr3:uid="{BEAF96E5-E54F-154E-AF19-C2BE9DA89C86}" name="TEST" dataDxfId="51" totalsRowDxfId="0">
      <calculatedColumnFormula>EXACT(UPPER(VI[[#This Row],[POSTAVA]]),UPPER(VI[[#This Row],[KONTROLA DABÉRA]]))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5975-60DB-6140-9443-9E095334E20B}">
  <sheetPr codeName="List1"/>
  <dimension ref="A1:M309"/>
  <sheetViews>
    <sheetView tabSelected="1" zoomScale="193" workbookViewId="0">
      <selection activeCell="D9" sqref="D9"/>
    </sheetView>
  </sheetViews>
  <sheetFormatPr baseColWidth="10" defaultColWidth="11" defaultRowHeight="16" x14ac:dyDescent="0.2"/>
  <cols>
    <col min="1" max="1" width="27" customWidth="1"/>
    <col min="4" max="4" width="16" bestFit="1" customWidth="1"/>
  </cols>
  <sheetData>
    <row r="1" spans="1:13" ht="34" x14ac:dyDescent="0.2">
      <c r="A1" s="2" t="s">
        <v>0</v>
      </c>
      <c r="B1" s="22" t="s">
        <v>1</v>
      </c>
      <c r="C1" s="19" t="s">
        <v>2</v>
      </c>
      <c r="D1" s="21" t="s">
        <v>3</v>
      </c>
    </row>
    <row r="2" spans="1:13" x14ac:dyDescent="0.2">
      <c r="B2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" s="2"/>
      <c r="E2" s="14"/>
      <c r="F2" s="14"/>
      <c r="G2" s="14"/>
      <c r="H2" s="14"/>
      <c r="I2" s="14"/>
      <c r="J2" s="14"/>
      <c r="K2" s="14"/>
      <c r="L2" s="14"/>
      <c r="M2" s="14"/>
    </row>
    <row r="3" spans="1:13" x14ac:dyDescent="0.2">
      <c r="B3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3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3" s="2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2">
      <c r="B4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4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4" s="2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">
      <c r="B5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5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5" s="2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2">
      <c r="B6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6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6" s="2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">
      <c r="B7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7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7" s="2"/>
      <c r="E7" s="14"/>
      <c r="F7" s="14"/>
      <c r="G7" s="14"/>
      <c r="H7" s="14"/>
      <c r="I7" s="14"/>
      <c r="J7" s="14"/>
      <c r="K7" s="14"/>
      <c r="L7" s="14"/>
      <c r="M7" s="14"/>
    </row>
    <row r="8" spans="1:13" x14ac:dyDescent="0.2">
      <c r="B8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8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8" s="2"/>
      <c r="E8" s="14"/>
    </row>
    <row r="9" spans="1:13" x14ac:dyDescent="0.2">
      <c r="B9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9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9" s="2"/>
    </row>
    <row r="10" spans="1:13" x14ac:dyDescent="0.2">
      <c r="B10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0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0" s="2"/>
    </row>
    <row r="11" spans="1:13" x14ac:dyDescent="0.2">
      <c r="B11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1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1" s="2"/>
    </row>
    <row r="12" spans="1:13" x14ac:dyDescent="0.2">
      <c r="B12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2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2" s="2"/>
    </row>
    <row r="13" spans="1:13" x14ac:dyDescent="0.2">
      <c r="B13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3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3" s="2"/>
    </row>
    <row r="14" spans="1:13" x14ac:dyDescent="0.2">
      <c r="B14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4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4" s="2"/>
    </row>
    <row r="15" spans="1:13" x14ac:dyDescent="0.2">
      <c r="B15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5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5" s="2"/>
    </row>
    <row r="16" spans="1:13" x14ac:dyDescent="0.2">
      <c r="B16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6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6" s="2"/>
    </row>
    <row r="17" spans="1:4" x14ac:dyDescent="0.2">
      <c r="B17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7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7" s="2"/>
    </row>
    <row r="18" spans="1:4" x14ac:dyDescent="0.2">
      <c r="B18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8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8" s="2"/>
    </row>
    <row r="19" spans="1:4" x14ac:dyDescent="0.2">
      <c r="B19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19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19" s="2"/>
    </row>
    <row r="20" spans="1:4" x14ac:dyDescent="0.2">
      <c r="B20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0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0" s="2"/>
    </row>
    <row r="21" spans="1:4" x14ac:dyDescent="0.2">
      <c r="B21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1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1" s="2"/>
    </row>
    <row r="22" spans="1:4" x14ac:dyDescent="0.2">
      <c r="B22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2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2" s="2"/>
    </row>
    <row r="23" spans="1:4" x14ac:dyDescent="0.2">
      <c r="B23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3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3" s="2"/>
    </row>
    <row r="24" spans="1:4" x14ac:dyDescent="0.2">
      <c r="B24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4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4" s="2"/>
    </row>
    <row r="25" spans="1:4" x14ac:dyDescent="0.2">
      <c r="B25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5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5" s="2"/>
    </row>
    <row r="26" spans="1:4" x14ac:dyDescent="0.2">
      <c r="B26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6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6" s="2"/>
    </row>
    <row r="27" spans="1:4" x14ac:dyDescent="0.2">
      <c r="B27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7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7" s="2"/>
    </row>
    <row r="28" spans="1:4" x14ac:dyDescent="0.2">
      <c r="B28" s="3">
        <f>SUM(SUMIF(I[DABÉR],Tabulka17[[#This Row],[DABÉR]],I[VSTUPY]),SUMIF(II[DABÉR],Tabulka17[[#This Row],[DABÉR]],II[VSTUPY]),SUMIF(III[DABÉR],Tabulka17[[#This Row],[DABÉR]],III[VSTUPY]),SUMIF(IV[DABÉR],Tabulka17[[#This Row],[DABÉR]],IV[VSTUPY]),SUMIF(V[DABÉR],Tabulka17[[#This Row],[DABÉR]],V[VSTUPY]),SUMIF(VI[DABÉR],Tabulka17[[#This Row],[DABÉR]],VI[VSTUPY]))</f>
        <v>0</v>
      </c>
      <c r="C28" s="3">
        <f>SUM(SUMIF(I[DABÉR],Tabulka17[[#This Row],[DABÉR]],I[REPLIKY]),SUMIF(II[DABÉR],Tabulka17[[#This Row],[DABÉR]],II[REPLIKY]),SUMIF(III[DABÉR],Tabulka17[[#This Row],[DABÉR]],III[REPLIKY]),SUMIF(IV[DABÉR],Tabulka17[[#This Row],[DABÉR]],IV[REPLIKY]),SUMIF(V[DABÉR],Tabulka17[[#This Row],[DABÉR]],V[REPLIKY]),SUMIF(VI[DABÉR],Tabulka17[[#This Row],[DABÉR]],VI[REPLIKY]))</f>
        <v>0</v>
      </c>
      <c r="D28" s="2"/>
    </row>
    <row r="29" spans="1:4" x14ac:dyDescent="0.2">
      <c r="A29" s="20" t="str">
        <f>_xlfn.CONCAT("JEŠTĚ CHYBÍ DOPLNIT "&amp;COUNTBLANK(KOMPLET[DABÉR]) &amp;" POSTAV, ",SUMIF(KOMPLET[DABÉR],"",KOMPLET[VSTUPY])," VSTUPŮ A ",SUMIF(KOMPLET[DABÉR],"",KOMPLET[REPLIKY])," REPLIK.")</f>
        <v>JEŠTĚ CHYBÍ DOPLNIT 109 POSTAV, 0 VSTUPŮ A 0 REPLIK.</v>
      </c>
      <c r="B29" s="14"/>
      <c r="C29" s="14"/>
      <c r="D29" s="14"/>
    </row>
    <row r="99" spans="1:1" x14ac:dyDescent="0.2">
      <c r="A99" s="14"/>
    </row>
    <row r="100" spans="1:1" x14ac:dyDescent="0.2">
      <c r="A100" s="14"/>
    </row>
    <row r="101" spans="1:1" x14ac:dyDescent="0.2">
      <c r="A101" s="14"/>
    </row>
    <row r="102" spans="1:1" x14ac:dyDescent="0.2">
      <c r="A102" s="14"/>
    </row>
    <row r="103" spans="1:1" x14ac:dyDescent="0.2">
      <c r="A103" s="14"/>
    </row>
    <row r="104" spans="1:1" x14ac:dyDescent="0.2">
      <c r="A104" s="14"/>
    </row>
    <row r="105" spans="1:1" x14ac:dyDescent="0.2">
      <c r="A105" s="14"/>
    </row>
    <row r="106" spans="1:1" x14ac:dyDescent="0.2">
      <c r="A106" s="14"/>
    </row>
    <row r="107" spans="1:1" x14ac:dyDescent="0.2">
      <c r="A107" s="14"/>
    </row>
    <row r="108" spans="1:1" x14ac:dyDescent="0.2">
      <c r="A108" s="14"/>
    </row>
    <row r="109" spans="1:1" x14ac:dyDescent="0.2">
      <c r="A109" s="14"/>
    </row>
    <row r="110" spans="1:1" x14ac:dyDescent="0.2">
      <c r="A110" s="14"/>
    </row>
    <row r="171" spans="1:1" x14ac:dyDescent="0.2">
      <c r="A171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</sheetData>
  <phoneticPr fontId="6" type="noConversion"/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8E74-5119-A04E-922B-E19C8B18FB19}">
  <sheetPr codeName="List2"/>
  <dimension ref="A1:K710"/>
  <sheetViews>
    <sheetView topLeftCell="A103" zoomScale="150" zoomScaleNormal="115" workbookViewId="0">
      <pane xSplit="1" topLeftCell="E1" activePane="topRight" state="frozen"/>
      <selection pane="topRight"/>
    </sheetView>
  </sheetViews>
  <sheetFormatPr baseColWidth="10" defaultColWidth="11" defaultRowHeight="16" x14ac:dyDescent="0.2"/>
  <cols>
    <col min="1" max="1" width="33" bestFit="1" customWidth="1"/>
    <col min="2" max="2" width="9.6640625" bestFit="1" customWidth="1"/>
    <col min="3" max="3" width="10.33203125" customWidth="1"/>
    <col min="4" max="4" width="9.6640625" bestFit="1" customWidth="1"/>
    <col min="5" max="5" width="8.83203125" customWidth="1"/>
    <col min="6" max="6" width="9.6640625" bestFit="1" customWidth="1"/>
    <col min="7" max="7" width="8.83203125" customWidth="1"/>
    <col min="8" max="8" width="66.33203125" customWidth="1"/>
    <col min="9" max="9" width="14.1640625" bestFit="1" customWidth="1"/>
    <col min="10" max="10" width="10.83203125" customWidth="1"/>
    <col min="11" max="11" width="23" customWidth="1"/>
  </cols>
  <sheetData>
    <row r="1" spans="1:11" ht="17" x14ac:dyDescent="0.2">
      <c r="A1" s="2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8" t="s">
        <v>0</v>
      </c>
      <c r="I1" s="10" t="s">
        <v>11</v>
      </c>
      <c r="J1" s="10" t="s">
        <v>12</v>
      </c>
      <c r="K1" s="10" t="s">
        <v>3</v>
      </c>
    </row>
    <row r="2" spans="1:11" ht="17" x14ac:dyDescent="0.2">
      <c r="A2" s="20"/>
      <c r="B2" s="9" t="str">
        <f>_xlfn.CONCAT(_xlfn.XLOOKUP(KOMPLET[[#This Row],[POSTAVA]],I[POSTAVA],I[VSTUPY],0)," / ",_xlfn.XLOOKUP(KOMPLET[[#This Row],[POSTAVA]],I[POSTAVA],I[REPLIKY],0))</f>
        <v xml:space="preserve"> / </v>
      </c>
      <c r="C2" s="9" t="str">
        <f>_xlfn.CONCAT(_xlfn.XLOOKUP(KOMPLET[[#This Row],[POSTAVA]],II[POSTAVA],II[VSTUPY],0)," / ",_xlfn.XLOOKUP(KOMPLET[[#This Row],[POSTAVA]],II[POSTAVA],II[REPLIKY],0))</f>
        <v xml:space="preserve"> / </v>
      </c>
      <c r="D2" s="9" t="str">
        <f>_xlfn.CONCAT(_xlfn.XLOOKUP(KOMPLET[[#This Row],[POSTAVA]],III[POSTAVA],III[VSTUPY],0)," / ",_xlfn.XLOOKUP(KOMPLET[[#This Row],[POSTAVA]],III[POSTAVA],III[REPLIKY],0))</f>
        <v xml:space="preserve"> / </v>
      </c>
      <c r="E2" s="9" t="str">
        <f>_xlfn.CONCAT(_xlfn.XLOOKUP(KOMPLET[[#This Row],[POSTAVA]],IV[POSTAVA],IV[VSTUPY],0)," / ",_xlfn.XLOOKUP(KOMPLET[[#This Row],[POSTAVA]],IV[POSTAVA],IV[REPLIKY],0))</f>
        <v xml:space="preserve"> / </v>
      </c>
      <c r="F2" s="9" t="str">
        <f>_xlfn.CONCAT(_xlfn.XLOOKUP(KOMPLET[[#This Row],[POSTAVA]],V[POSTAVA],V[VSTUPY],0)," / ",_xlfn.XLOOKUP(KOMPLET[[#This Row],[POSTAVA]],V[POSTAVA],V[REPLIKY],0))</f>
        <v xml:space="preserve"> / </v>
      </c>
      <c r="G2" s="9" t="str">
        <f>_xlfn.CONCAT(_xlfn.XLOOKUP(KOMPLET[[#This Row],[POSTAVA]],VI[POSTAVA],VI[VSTUPY],0)," / ",_xlfn.XLOOKUP(KOMPLET[[#This Row],[POSTAVA]],VI[POSTAVA],VI[REPLIKY],0))</f>
        <v xml:space="preserve"> / </v>
      </c>
      <c r="I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" s="1"/>
    </row>
    <row r="3" spans="1:11" ht="17" x14ac:dyDescent="0.2">
      <c r="A3" s="20"/>
      <c r="B3" s="9" t="str">
        <f>_xlfn.CONCAT(_xlfn.XLOOKUP(KOMPLET[[#This Row],[POSTAVA]],I[POSTAVA],I[VSTUPY],0)," / ",_xlfn.XLOOKUP(KOMPLET[[#This Row],[POSTAVA]],I[POSTAVA],I[REPLIKY],0))</f>
        <v xml:space="preserve"> / </v>
      </c>
      <c r="C3" s="9" t="str">
        <f>_xlfn.CONCAT(_xlfn.XLOOKUP(KOMPLET[[#This Row],[POSTAVA]],II[POSTAVA],II[VSTUPY],0)," / ",_xlfn.XLOOKUP(KOMPLET[[#This Row],[POSTAVA]],II[POSTAVA],II[REPLIKY],0))</f>
        <v xml:space="preserve"> / </v>
      </c>
      <c r="D3" s="9" t="str">
        <f>_xlfn.CONCAT(_xlfn.XLOOKUP(KOMPLET[[#This Row],[POSTAVA]],III[POSTAVA],III[VSTUPY],0)," / ",_xlfn.XLOOKUP(KOMPLET[[#This Row],[POSTAVA]],III[POSTAVA],III[REPLIKY],0))</f>
        <v xml:space="preserve"> / </v>
      </c>
      <c r="E3" s="9" t="str">
        <f>_xlfn.CONCAT(_xlfn.XLOOKUP(KOMPLET[[#This Row],[POSTAVA]],IV[POSTAVA],IV[VSTUPY],0)," / ",_xlfn.XLOOKUP(KOMPLET[[#This Row],[POSTAVA]],IV[POSTAVA],IV[REPLIKY],0))</f>
        <v xml:space="preserve"> / </v>
      </c>
      <c r="F3" s="9" t="str">
        <f>_xlfn.CONCAT(_xlfn.XLOOKUP(KOMPLET[[#This Row],[POSTAVA]],V[POSTAVA],V[VSTUPY],0)," / ",_xlfn.XLOOKUP(KOMPLET[[#This Row],[POSTAVA]],V[POSTAVA],V[REPLIKY],0))</f>
        <v xml:space="preserve"> / </v>
      </c>
      <c r="G3" s="9" t="str">
        <f>_xlfn.CONCAT(_xlfn.XLOOKUP(KOMPLET[[#This Row],[POSTAVA]],VI[POSTAVA],VI[VSTUPY],0)," / ",_xlfn.XLOOKUP(KOMPLET[[#This Row],[POSTAVA]],VI[POSTAVA],VI[REPLIKY],0))</f>
        <v xml:space="preserve"> / </v>
      </c>
      <c r="H3" s="20"/>
      <c r="I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" s="1"/>
    </row>
    <row r="4" spans="1:11" ht="17" x14ac:dyDescent="0.2">
      <c r="A4" s="20"/>
      <c r="B4" s="9" t="str">
        <f>_xlfn.CONCAT(_xlfn.XLOOKUP(KOMPLET[[#This Row],[POSTAVA]],I[POSTAVA],I[VSTUPY],0)," / ",_xlfn.XLOOKUP(KOMPLET[[#This Row],[POSTAVA]],I[POSTAVA],I[REPLIKY],0))</f>
        <v xml:space="preserve"> / </v>
      </c>
      <c r="C4" s="9" t="str">
        <f>_xlfn.CONCAT(_xlfn.XLOOKUP(KOMPLET[[#This Row],[POSTAVA]],II[POSTAVA],II[VSTUPY],0)," / ",_xlfn.XLOOKUP(KOMPLET[[#This Row],[POSTAVA]],II[POSTAVA],II[REPLIKY],0))</f>
        <v xml:space="preserve"> / </v>
      </c>
      <c r="D4" s="9" t="str">
        <f>_xlfn.CONCAT(_xlfn.XLOOKUP(KOMPLET[[#This Row],[POSTAVA]],III[POSTAVA],III[VSTUPY],0)," / ",_xlfn.XLOOKUP(KOMPLET[[#This Row],[POSTAVA]],III[POSTAVA],III[REPLIKY],0))</f>
        <v xml:space="preserve"> / </v>
      </c>
      <c r="E4" s="9" t="str">
        <f>_xlfn.CONCAT(_xlfn.XLOOKUP(KOMPLET[[#This Row],[POSTAVA]],IV[POSTAVA],IV[VSTUPY],0)," / ",_xlfn.XLOOKUP(KOMPLET[[#This Row],[POSTAVA]],IV[POSTAVA],IV[REPLIKY],0))</f>
        <v xml:space="preserve"> / </v>
      </c>
      <c r="F4" s="9" t="str">
        <f>_xlfn.CONCAT(_xlfn.XLOOKUP(KOMPLET[[#This Row],[POSTAVA]],V[POSTAVA],V[VSTUPY],0)," / ",_xlfn.XLOOKUP(KOMPLET[[#This Row],[POSTAVA]],V[POSTAVA],V[REPLIKY],0))</f>
        <v xml:space="preserve"> / </v>
      </c>
      <c r="G4" s="9" t="str">
        <f>_xlfn.CONCAT(_xlfn.XLOOKUP(KOMPLET[[#This Row],[POSTAVA]],VI[POSTAVA],VI[VSTUPY],0)," / ",_xlfn.XLOOKUP(KOMPLET[[#This Row],[POSTAVA]],VI[POSTAVA],VI[REPLIKY],0))</f>
        <v xml:space="preserve"> / </v>
      </c>
      <c r="I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" s="1"/>
    </row>
    <row r="5" spans="1:11" ht="17" x14ac:dyDescent="0.2">
      <c r="A5" s="20"/>
      <c r="B5" s="9" t="str">
        <f>_xlfn.CONCAT(_xlfn.XLOOKUP(KOMPLET[[#This Row],[POSTAVA]],I[POSTAVA],I[VSTUPY],0)," / ",_xlfn.XLOOKUP(KOMPLET[[#This Row],[POSTAVA]],I[POSTAVA],I[REPLIKY],0))</f>
        <v xml:space="preserve"> / </v>
      </c>
      <c r="C5" s="9" t="str">
        <f>_xlfn.CONCAT(_xlfn.XLOOKUP(KOMPLET[[#This Row],[POSTAVA]],II[POSTAVA],II[VSTUPY],0)," / ",_xlfn.XLOOKUP(KOMPLET[[#This Row],[POSTAVA]],II[POSTAVA],II[REPLIKY],0))</f>
        <v xml:space="preserve"> / </v>
      </c>
      <c r="D5" s="9" t="str">
        <f>_xlfn.CONCAT(_xlfn.XLOOKUP(KOMPLET[[#This Row],[POSTAVA]],III[POSTAVA],III[VSTUPY],0)," / ",_xlfn.XLOOKUP(KOMPLET[[#This Row],[POSTAVA]],III[POSTAVA],III[REPLIKY],0))</f>
        <v xml:space="preserve"> / </v>
      </c>
      <c r="E5" s="9" t="str">
        <f>_xlfn.CONCAT(_xlfn.XLOOKUP(KOMPLET[[#This Row],[POSTAVA]],IV[POSTAVA],IV[VSTUPY],0)," / ",_xlfn.XLOOKUP(KOMPLET[[#This Row],[POSTAVA]],IV[POSTAVA],IV[REPLIKY],0))</f>
        <v xml:space="preserve"> / </v>
      </c>
      <c r="F5" s="9" t="str">
        <f>_xlfn.CONCAT(_xlfn.XLOOKUP(KOMPLET[[#This Row],[POSTAVA]],V[POSTAVA],V[VSTUPY],0)," / ",_xlfn.XLOOKUP(KOMPLET[[#This Row],[POSTAVA]],V[POSTAVA],V[REPLIKY],0))</f>
        <v xml:space="preserve"> / </v>
      </c>
      <c r="G5" s="9" t="str">
        <f>_xlfn.CONCAT(_xlfn.XLOOKUP(KOMPLET[[#This Row],[POSTAVA]],VI[POSTAVA],VI[VSTUPY],0)," / ",_xlfn.XLOOKUP(KOMPLET[[#This Row],[POSTAVA]],VI[POSTAVA],VI[REPLIKY],0))</f>
        <v xml:space="preserve"> / </v>
      </c>
      <c r="I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" s="1"/>
    </row>
    <row r="6" spans="1:11" ht="17" x14ac:dyDescent="0.2">
      <c r="A6" s="20"/>
      <c r="B6" s="9" t="str">
        <f>_xlfn.CONCAT(_xlfn.XLOOKUP(KOMPLET[[#This Row],[POSTAVA]],I[POSTAVA],I[VSTUPY],0)," / ",_xlfn.XLOOKUP(KOMPLET[[#This Row],[POSTAVA]],I[POSTAVA],I[REPLIKY],0))</f>
        <v xml:space="preserve"> / </v>
      </c>
      <c r="C6" s="9" t="str">
        <f>_xlfn.CONCAT(_xlfn.XLOOKUP(KOMPLET[[#This Row],[POSTAVA]],II[POSTAVA],II[VSTUPY],0)," / ",_xlfn.XLOOKUP(KOMPLET[[#This Row],[POSTAVA]],II[POSTAVA],II[REPLIKY],0))</f>
        <v xml:space="preserve"> / </v>
      </c>
      <c r="D6" s="9" t="str">
        <f>_xlfn.CONCAT(_xlfn.XLOOKUP(KOMPLET[[#This Row],[POSTAVA]],III[POSTAVA],III[VSTUPY],0)," / ",_xlfn.XLOOKUP(KOMPLET[[#This Row],[POSTAVA]],III[POSTAVA],III[REPLIKY],0))</f>
        <v xml:space="preserve"> / </v>
      </c>
      <c r="E6" s="9" t="str">
        <f>_xlfn.CONCAT(_xlfn.XLOOKUP(KOMPLET[[#This Row],[POSTAVA]],IV[POSTAVA],IV[VSTUPY],0)," / ",_xlfn.XLOOKUP(KOMPLET[[#This Row],[POSTAVA]],IV[POSTAVA],IV[REPLIKY],0))</f>
        <v xml:space="preserve"> / </v>
      </c>
      <c r="F6" s="9" t="str">
        <f>_xlfn.CONCAT(_xlfn.XLOOKUP(KOMPLET[[#This Row],[POSTAVA]],V[POSTAVA],V[VSTUPY],0)," / ",_xlfn.XLOOKUP(KOMPLET[[#This Row],[POSTAVA]],V[POSTAVA],V[REPLIKY],0))</f>
        <v xml:space="preserve"> / </v>
      </c>
      <c r="G6" s="9" t="str">
        <f>_xlfn.CONCAT(_xlfn.XLOOKUP(KOMPLET[[#This Row],[POSTAVA]],VI[POSTAVA],VI[VSTUPY],0)," / ",_xlfn.XLOOKUP(KOMPLET[[#This Row],[POSTAVA]],VI[POSTAVA],VI[REPLIKY],0))</f>
        <v xml:space="preserve"> / </v>
      </c>
      <c r="I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" s="1"/>
    </row>
    <row r="7" spans="1:11" ht="17" x14ac:dyDescent="0.2">
      <c r="A7" s="20"/>
      <c r="B7" s="9" t="str">
        <f>_xlfn.CONCAT(_xlfn.XLOOKUP(KOMPLET[[#This Row],[POSTAVA]],I[POSTAVA],I[VSTUPY],0)," / ",_xlfn.XLOOKUP(KOMPLET[[#This Row],[POSTAVA]],I[POSTAVA],I[REPLIKY],0))</f>
        <v xml:space="preserve"> / </v>
      </c>
      <c r="C7" s="9" t="str">
        <f>_xlfn.CONCAT(_xlfn.XLOOKUP(KOMPLET[[#This Row],[POSTAVA]],II[POSTAVA],II[VSTUPY],0)," / ",_xlfn.XLOOKUP(KOMPLET[[#This Row],[POSTAVA]],II[POSTAVA],II[REPLIKY],0))</f>
        <v xml:space="preserve"> / </v>
      </c>
      <c r="D7" s="9" t="str">
        <f>_xlfn.CONCAT(_xlfn.XLOOKUP(KOMPLET[[#This Row],[POSTAVA]],III[POSTAVA],III[VSTUPY],0)," / ",_xlfn.XLOOKUP(KOMPLET[[#This Row],[POSTAVA]],III[POSTAVA],III[REPLIKY],0))</f>
        <v xml:space="preserve"> / </v>
      </c>
      <c r="E7" s="9" t="str">
        <f>_xlfn.CONCAT(_xlfn.XLOOKUP(KOMPLET[[#This Row],[POSTAVA]],IV[POSTAVA],IV[VSTUPY],0)," / ",_xlfn.XLOOKUP(KOMPLET[[#This Row],[POSTAVA]],IV[POSTAVA],IV[REPLIKY],0))</f>
        <v xml:space="preserve"> / </v>
      </c>
      <c r="F7" s="9" t="str">
        <f>_xlfn.CONCAT(_xlfn.XLOOKUP(KOMPLET[[#This Row],[POSTAVA]],V[POSTAVA],V[VSTUPY],0)," / ",_xlfn.XLOOKUP(KOMPLET[[#This Row],[POSTAVA]],V[POSTAVA],V[REPLIKY],0))</f>
        <v xml:space="preserve"> / </v>
      </c>
      <c r="G7" s="9" t="str">
        <f>_xlfn.CONCAT(_xlfn.XLOOKUP(KOMPLET[[#This Row],[POSTAVA]],VI[POSTAVA],VI[VSTUPY],0)," / ",_xlfn.XLOOKUP(KOMPLET[[#This Row],[POSTAVA]],VI[POSTAVA],VI[REPLIKY],0))</f>
        <v xml:space="preserve"> / </v>
      </c>
      <c r="I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" s="1"/>
    </row>
    <row r="8" spans="1:11" ht="17" x14ac:dyDescent="0.2">
      <c r="A8" s="20"/>
      <c r="B8" s="9" t="str">
        <f>_xlfn.CONCAT(_xlfn.XLOOKUP(KOMPLET[[#This Row],[POSTAVA]],I[POSTAVA],I[VSTUPY],0)," / ",_xlfn.XLOOKUP(KOMPLET[[#This Row],[POSTAVA]],I[POSTAVA],I[REPLIKY],0))</f>
        <v xml:space="preserve"> / </v>
      </c>
      <c r="C8" s="9" t="str">
        <f>_xlfn.CONCAT(_xlfn.XLOOKUP(KOMPLET[[#This Row],[POSTAVA]],II[POSTAVA],II[VSTUPY],0)," / ",_xlfn.XLOOKUP(KOMPLET[[#This Row],[POSTAVA]],II[POSTAVA],II[REPLIKY],0))</f>
        <v xml:space="preserve"> / </v>
      </c>
      <c r="D8" s="9" t="str">
        <f>_xlfn.CONCAT(_xlfn.XLOOKUP(KOMPLET[[#This Row],[POSTAVA]],III[POSTAVA],III[VSTUPY],0)," / ",_xlfn.XLOOKUP(KOMPLET[[#This Row],[POSTAVA]],III[POSTAVA],III[REPLIKY],0))</f>
        <v xml:space="preserve"> / </v>
      </c>
      <c r="E8" s="9" t="str">
        <f>_xlfn.CONCAT(_xlfn.XLOOKUP(KOMPLET[[#This Row],[POSTAVA]],IV[POSTAVA],IV[VSTUPY],0)," / ",_xlfn.XLOOKUP(KOMPLET[[#This Row],[POSTAVA]],IV[POSTAVA],IV[REPLIKY],0))</f>
        <v xml:space="preserve"> / </v>
      </c>
      <c r="F8" s="9" t="str">
        <f>_xlfn.CONCAT(_xlfn.XLOOKUP(KOMPLET[[#This Row],[POSTAVA]],V[POSTAVA],V[VSTUPY],0)," / ",_xlfn.XLOOKUP(KOMPLET[[#This Row],[POSTAVA]],V[POSTAVA],V[REPLIKY],0))</f>
        <v xml:space="preserve"> / </v>
      </c>
      <c r="G8" s="9" t="str">
        <f>_xlfn.CONCAT(_xlfn.XLOOKUP(KOMPLET[[#This Row],[POSTAVA]],VI[POSTAVA],VI[VSTUPY],0)," / ",_xlfn.XLOOKUP(KOMPLET[[#This Row],[POSTAVA]],VI[POSTAVA],VI[REPLIKY],0))</f>
        <v xml:space="preserve"> / </v>
      </c>
      <c r="I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" s="1"/>
    </row>
    <row r="9" spans="1:11" ht="17" x14ac:dyDescent="0.2">
      <c r="A9" s="20"/>
      <c r="B9" s="9" t="str">
        <f>_xlfn.CONCAT(_xlfn.XLOOKUP(KOMPLET[[#This Row],[POSTAVA]],I[POSTAVA],I[VSTUPY],0)," / ",_xlfn.XLOOKUP(KOMPLET[[#This Row],[POSTAVA]],I[POSTAVA],I[REPLIKY],0))</f>
        <v xml:space="preserve"> / </v>
      </c>
      <c r="C9" s="9" t="str">
        <f>_xlfn.CONCAT(_xlfn.XLOOKUP(KOMPLET[[#This Row],[POSTAVA]],II[POSTAVA],II[VSTUPY],0)," / ",_xlfn.XLOOKUP(KOMPLET[[#This Row],[POSTAVA]],II[POSTAVA],II[REPLIKY],0))</f>
        <v xml:space="preserve"> / </v>
      </c>
      <c r="D9" s="9" t="str">
        <f>_xlfn.CONCAT(_xlfn.XLOOKUP(KOMPLET[[#This Row],[POSTAVA]],III[POSTAVA],III[VSTUPY],0)," / ",_xlfn.XLOOKUP(KOMPLET[[#This Row],[POSTAVA]],III[POSTAVA],III[REPLIKY],0))</f>
        <v xml:space="preserve"> / </v>
      </c>
      <c r="E9" s="9" t="str">
        <f>_xlfn.CONCAT(_xlfn.XLOOKUP(KOMPLET[[#This Row],[POSTAVA]],IV[POSTAVA],IV[VSTUPY],0)," / ",_xlfn.XLOOKUP(KOMPLET[[#This Row],[POSTAVA]],IV[POSTAVA],IV[REPLIKY],0))</f>
        <v xml:space="preserve"> / </v>
      </c>
      <c r="F9" s="9" t="str">
        <f>_xlfn.CONCAT(_xlfn.XLOOKUP(KOMPLET[[#This Row],[POSTAVA]],V[POSTAVA],V[VSTUPY],0)," / ",_xlfn.XLOOKUP(KOMPLET[[#This Row],[POSTAVA]],V[POSTAVA],V[REPLIKY],0))</f>
        <v xml:space="preserve"> / </v>
      </c>
      <c r="G9" s="9" t="str">
        <f>_xlfn.CONCAT(_xlfn.XLOOKUP(KOMPLET[[#This Row],[POSTAVA]],VI[POSTAVA],VI[VSTUPY],0)," / ",_xlfn.XLOOKUP(KOMPLET[[#This Row],[POSTAVA]],VI[POSTAVA],VI[REPLIKY],0))</f>
        <v xml:space="preserve"> / </v>
      </c>
      <c r="I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" s="1"/>
    </row>
    <row r="10" spans="1:11" ht="17" x14ac:dyDescent="0.2">
      <c r="A10" s="20"/>
      <c r="B10" s="9" t="str">
        <f>_xlfn.CONCAT(_xlfn.XLOOKUP(KOMPLET[[#This Row],[POSTAVA]],I[POSTAVA],I[VSTUPY],0)," / ",_xlfn.XLOOKUP(KOMPLET[[#This Row],[POSTAVA]],I[POSTAVA],I[REPLIKY],0))</f>
        <v xml:space="preserve"> / </v>
      </c>
      <c r="C10" s="9" t="str">
        <f>_xlfn.CONCAT(_xlfn.XLOOKUP(KOMPLET[[#This Row],[POSTAVA]],II[POSTAVA],II[VSTUPY],0)," / ",_xlfn.XLOOKUP(KOMPLET[[#This Row],[POSTAVA]],II[POSTAVA],II[REPLIKY],0))</f>
        <v xml:space="preserve"> / </v>
      </c>
      <c r="D10" s="9" t="str">
        <f>_xlfn.CONCAT(_xlfn.XLOOKUP(KOMPLET[[#This Row],[POSTAVA]],III[POSTAVA],III[VSTUPY],0)," / ",_xlfn.XLOOKUP(KOMPLET[[#This Row],[POSTAVA]],III[POSTAVA],III[REPLIKY],0))</f>
        <v xml:space="preserve"> / </v>
      </c>
      <c r="E10" s="9" t="str">
        <f>_xlfn.CONCAT(_xlfn.XLOOKUP(KOMPLET[[#This Row],[POSTAVA]],IV[POSTAVA],IV[VSTUPY],0)," / ",_xlfn.XLOOKUP(KOMPLET[[#This Row],[POSTAVA]],IV[POSTAVA],IV[REPLIKY],0))</f>
        <v xml:space="preserve"> / </v>
      </c>
      <c r="F10" s="9" t="str">
        <f>_xlfn.CONCAT(_xlfn.XLOOKUP(KOMPLET[[#This Row],[POSTAVA]],V[POSTAVA],V[VSTUPY],0)," / ",_xlfn.XLOOKUP(KOMPLET[[#This Row],[POSTAVA]],V[POSTAVA],V[REPLIKY],0))</f>
        <v xml:space="preserve"> / </v>
      </c>
      <c r="G10" s="9" t="str">
        <f>_xlfn.CONCAT(_xlfn.XLOOKUP(KOMPLET[[#This Row],[POSTAVA]],VI[POSTAVA],VI[VSTUPY],0)," / ",_xlfn.XLOOKUP(KOMPLET[[#This Row],[POSTAVA]],VI[POSTAVA],VI[REPLIKY],0))</f>
        <v xml:space="preserve"> / </v>
      </c>
      <c r="I1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" s="1"/>
    </row>
    <row r="11" spans="1:11" ht="17" x14ac:dyDescent="0.2">
      <c r="A11" s="20"/>
      <c r="B11" s="9" t="str">
        <f>_xlfn.CONCAT(_xlfn.XLOOKUP(KOMPLET[[#This Row],[POSTAVA]],I[POSTAVA],I[VSTUPY],0)," / ",_xlfn.XLOOKUP(KOMPLET[[#This Row],[POSTAVA]],I[POSTAVA],I[REPLIKY],0))</f>
        <v xml:space="preserve"> / </v>
      </c>
      <c r="C11" s="9" t="str">
        <f>_xlfn.CONCAT(_xlfn.XLOOKUP(KOMPLET[[#This Row],[POSTAVA]],II[POSTAVA],II[VSTUPY],0)," / ",_xlfn.XLOOKUP(KOMPLET[[#This Row],[POSTAVA]],II[POSTAVA],II[REPLIKY],0))</f>
        <v xml:space="preserve"> / </v>
      </c>
      <c r="D11" s="9" t="str">
        <f>_xlfn.CONCAT(_xlfn.XLOOKUP(KOMPLET[[#This Row],[POSTAVA]],III[POSTAVA],III[VSTUPY],0)," / ",_xlfn.XLOOKUP(KOMPLET[[#This Row],[POSTAVA]],III[POSTAVA],III[REPLIKY],0))</f>
        <v xml:space="preserve"> / </v>
      </c>
      <c r="E11" s="9" t="str">
        <f>_xlfn.CONCAT(_xlfn.XLOOKUP(KOMPLET[[#This Row],[POSTAVA]],IV[POSTAVA],IV[VSTUPY],0)," / ",_xlfn.XLOOKUP(KOMPLET[[#This Row],[POSTAVA]],IV[POSTAVA],IV[REPLIKY],0))</f>
        <v xml:space="preserve"> / </v>
      </c>
      <c r="F11" s="9" t="str">
        <f>_xlfn.CONCAT(_xlfn.XLOOKUP(KOMPLET[[#This Row],[POSTAVA]],V[POSTAVA],V[VSTUPY],0)," / ",_xlfn.XLOOKUP(KOMPLET[[#This Row],[POSTAVA]],V[POSTAVA],V[REPLIKY],0))</f>
        <v xml:space="preserve"> / </v>
      </c>
      <c r="G11" s="9" t="str">
        <f>_xlfn.CONCAT(_xlfn.XLOOKUP(KOMPLET[[#This Row],[POSTAVA]],VI[POSTAVA],VI[VSTUPY],0)," / ",_xlfn.XLOOKUP(KOMPLET[[#This Row],[POSTAVA]],VI[POSTAVA],VI[REPLIKY],0))</f>
        <v xml:space="preserve"> / </v>
      </c>
      <c r="I1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1" s="1"/>
    </row>
    <row r="12" spans="1:11" ht="17" x14ac:dyDescent="0.2">
      <c r="A12" s="20"/>
      <c r="B12" s="9" t="str">
        <f>_xlfn.CONCAT(_xlfn.XLOOKUP(KOMPLET[[#This Row],[POSTAVA]],I[POSTAVA],I[VSTUPY],0)," / ",_xlfn.XLOOKUP(KOMPLET[[#This Row],[POSTAVA]],I[POSTAVA],I[REPLIKY],0))</f>
        <v xml:space="preserve"> / </v>
      </c>
      <c r="C12" s="9" t="str">
        <f>_xlfn.CONCAT(_xlfn.XLOOKUP(KOMPLET[[#This Row],[POSTAVA]],II[POSTAVA],II[VSTUPY],0)," / ",_xlfn.XLOOKUP(KOMPLET[[#This Row],[POSTAVA]],II[POSTAVA],II[REPLIKY],0))</f>
        <v xml:space="preserve"> / </v>
      </c>
      <c r="D12" s="9" t="str">
        <f>_xlfn.CONCAT(_xlfn.XLOOKUP(KOMPLET[[#This Row],[POSTAVA]],III[POSTAVA],III[VSTUPY],0)," / ",_xlfn.XLOOKUP(KOMPLET[[#This Row],[POSTAVA]],III[POSTAVA],III[REPLIKY],0))</f>
        <v xml:space="preserve"> / </v>
      </c>
      <c r="E12" s="9" t="str">
        <f>_xlfn.CONCAT(_xlfn.XLOOKUP(KOMPLET[[#This Row],[POSTAVA]],IV[POSTAVA],IV[VSTUPY],0)," / ",_xlfn.XLOOKUP(KOMPLET[[#This Row],[POSTAVA]],IV[POSTAVA],IV[REPLIKY],0))</f>
        <v xml:space="preserve"> / </v>
      </c>
      <c r="F12" s="9" t="str">
        <f>_xlfn.CONCAT(_xlfn.XLOOKUP(KOMPLET[[#This Row],[POSTAVA]],V[POSTAVA],V[VSTUPY],0)," / ",_xlfn.XLOOKUP(KOMPLET[[#This Row],[POSTAVA]],V[POSTAVA],V[REPLIKY],0))</f>
        <v xml:space="preserve"> / </v>
      </c>
      <c r="G12" s="9" t="str">
        <f>_xlfn.CONCAT(_xlfn.XLOOKUP(KOMPLET[[#This Row],[POSTAVA]],VI[POSTAVA],VI[VSTUPY],0)," / ",_xlfn.XLOOKUP(KOMPLET[[#This Row],[POSTAVA]],VI[POSTAVA],VI[REPLIKY],0))</f>
        <v xml:space="preserve"> / </v>
      </c>
      <c r="I1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2" s="1"/>
    </row>
    <row r="13" spans="1:11" ht="17" x14ac:dyDescent="0.2">
      <c r="A13" s="20"/>
      <c r="B13" s="9" t="str">
        <f>_xlfn.CONCAT(_xlfn.XLOOKUP(KOMPLET[[#This Row],[POSTAVA]],I[POSTAVA],I[VSTUPY],0)," / ",_xlfn.XLOOKUP(KOMPLET[[#This Row],[POSTAVA]],I[POSTAVA],I[REPLIKY],0))</f>
        <v xml:space="preserve"> / </v>
      </c>
      <c r="C13" s="9" t="str">
        <f>_xlfn.CONCAT(_xlfn.XLOOKUP(KOMPLET[[#This Row],[POSTAVA]],II[POSTAVA],II[VSTUPY],0)," / ",_xlfn.XLOOKUP(KOMPLET[[#This Row],[POSTAVA]],II[POSTAVA],II[REPLIKY],0))</f>
        <v xml:space="preserve"> / </v>
      </c>
      <c r="D13" s="9" t="str">
        <f>_xlfn.CONCAT(_xlfn.XLOOKUP(KOMPLET[[#This Row],[POSTAVA]],III[POSTAVA],III[VSTUPY],0)," / ",_xlfn.XLOOKUP(KOMPLET[[#This Row],[POSTAVA]],III[POSTAVA],III[REPLIKY],0))</f>
        <v xml:space="preserve"> / </v>
      </c>
      <c r="E13" s="9" t="str">
        <f>_xlfn.CONCAT(_xlfn.XLOOKUP(KOMPLET[[#This Row],[POSTAVA]],IV[POSTAVA],IV[VSTUPY],0)," / ",_xlfn.XLOOKUP(KOMPLET[[#This Row],[POSTAVA]],IV[POSTAVA],IV[REPLIKY],0))</f>
        <v xml:space="preserve"> / </v>
      </c>
      <c r="F13" s="9" t="str">
        <f>_xlfn.CONCAT(_xlfn.XLOOKUP(KOMPLET[[#This Row],[POSTAVA]],V[POSTAVA],V[VSTUPY],0)," / ",_xlfn.XLOOKUP(KOMPLET[[#This Row],[POSTAVA]],V[POSTAVA],V[REPLIKY],0))</f>
        <v xml:space="preserve"> / </v>
      </c>
      <c r="G13" s="9" t="str">
        <f>_xlfn.CONCAT(_xlfn.XLOOKUP(KOMPLET[[#This Row],[POSTAVA]],VI[POSTAVA],VI[VSTUPY],0)," / ",_xlfn.XLOOKUP(KOMPLET[[#This Row],[POSTAVA]],VI[POSTAVA],VI[REPLIKY],0))</f>
        <v xml:space="preserve"> / </v>
      </c>
      <c r="I1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3" s="1"/>
    </row>
    <row r="14" spans="1:11" ht="17" x14ac:dyDescent="0.2">
      <c r="A14" s="20"/>
      <c r="B14" s="9" t="str">
        <f>_xlfn.CONCAT(_xlfn.XLOOKUP(KOMPLET[[#This Row],[POSTAVA]],I[POSTAVA],I[VSTUPY],0)," / ",_xlfn.XLOOKUP(KOMPLET[[#This Row],[POSTAVA]],I[POSTAVA],I[REPLIKY],0))</f>
        <v xml:space="preserve"> / </v>
      </c>
      <c r="C14" s="9" t="str">
        <f>_xlfn.CONCAT(_xlfn.XLOOKUP(KOMPLET[[#This Row],[POSTAVA]],II[POSTAVA],II[VSTUPY],0)," / ",_xlfn.XLOOKUP(KOMPLET[[#This Row],[POSTAVA]],II[POSTAVA],II[REPLIKY],0))</f>
        <v xml:space="preserve"> / </v>
      </c>
      <c r="D14" s="9" t="str">
        <f>_xlfn.CONCAT(_xlfn.XLOOKUP(KOMPLET[[#This Row],[POSTAVA]],III[POSTAVA],III[VSTUPY],0)," / ",_xlfn.XLOOKUP(KOMPLET[[#This Row],[POSTAVA]],III[POSTAVA],III[REPLIKY],0))</f>
        <v xml:space="preserve"> / </v>
      </c>
      <c r="E14" s="9" t="str">
        <f>_xlfn.CONCAT(_xlfn.XLOOKUP(KOMPLET[[#This Row],[POSTAVA]],IV[POSTAVA],IV[VSTUPY],0)," / ",_xlfn.XLOOKUP(KOMPLET[[#This Row],[POSTAVA]],IV[POSTAVA],IV[REPLIKY],0))</f>
        <v xml:space="preserve"> / </v>
      </c>
      <c r="F14" s="9" t="str">
        <f>_xlfn.CONCAT(_xlfn.XLOOKUP(KOMPLET[[#This Row],[POSTAVA]],V[POSTAVA],V[VSTUPY],0)," / ",_xlfn.XLOOKUP(KOMPLET[[#This Row],[POSTAVA]],V[POSTAVA],V[REPLIKY],0))</f>
        <v xml:space="preserve"> / </v>
      </c>
      <c r="G14" s="9" t="str">
        <f>_xlfn.CONCAT(_xlfn.XLOOKUP(KOMPLET[[#This Row],[POSTAVA]],VI[POSTAVA],VI[VSTUPY],0)," / ",_xlfn.XLOOKUP(KOMPLET[[#This Row],[POSTAVA]],VI[POSTAVA],VI[REPLIKY],0))</f>
        <v xml:space="preserve"> / </v>
      </c>
      <c r="I1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4" s="1"/>
    </row>
    <row r="15" spans="1:11" ht="17" x14ac:dyDescent="0.2">
      <c r="A15" s="20"/>
      <c r="B15" s="9" t="str">
        <f>_xlfn.CONCAT(_xlfn.XLOOKUP(KOMPLET[[#This Row],[POSTAVA]],I[POSTAVA],I[VSTUPY],0)," / ",_xlfn.XLOOKUP(KOMPLET[[#This Row],[POSTAVA]],I[POSTAVA],I[REPLIKY],0))</f>
        <v xml:space="preserve"> / </v>
      </c>
      <c r="C15" s="9" t="str">
        <f>_xlfn.CONCAT(_xlfn.XLOOKUP(KOMPLET[[#This Row],[POSTAVA]],II[POSTAVA],II[VSTUPY],0)," / ",_xlfn.XLOOKUP(KOMPLET[[#This Row],[POSTAVA]],II[POSTAVA],II[REPLIKY],0))</f>
        <v xml:space="preserve"> / </v>
      </c>
      <c r="D15" s="9" t="str">
        <f>_xlfn.CONCAT(_xlfn.XLOOKUP(KOMPLET[[#This Row],[POSTAVA]],III[POSTAVA],III[VSTUPY],0)," / ",_xlfn.XLOOKUP(KOMPLET[[#This Row],[POSTAVA]],III[POSTAVA],III[REPLIKY],0))</f>
        <v xml:space="preserve"> / </v>
      </c>
      <c r="E15" s="9" t="str">
        <f>_xlfn.CONCAT(_xlfn.XLOOKUP(KOMPLET[[#This Row],[POSTAVA]],IV[POSTAVA],IV[VSTUPY],0)," / ",_xlfn.XLOOKUP(KOMPLET[[#This Row],[POSTAVA]],IV[POSTAVA],IV[REPLIKY],0))</f>
        <v xml:space="preserve"> / </v>
      </c>
      <c r="F15" s="9" t="str">
        <f>_xlfn.CONCAT(_xlfn.XLOOKUP(KOMPLET[[#This Row],[POSTAVA]],V[POSTAVA],V[VSTUPY],0)," / ",_xlfn.XLOOKUP(KOMPLET[[#This Row],[POSTAVA]],V[POSTAVA],V[REPLIKY],0))</f>
        <v xml:space="preserve"> / </v>
      </c>
      <c r="G15" s="9" t="str">
        <f>_xlfn.CONCAT(_xlfn.XLOOKUP(KOMPLET[[#This Row],[POSTAVA]],VI[POSTAVA],VI[VSTUPY],0)," / ",_xlfn.XLOOKUP(KOMPLET[[#This Row],[POSTAVA]],VI[POSTAVA],VI[REPLIKY],0))</f>
        <v xml:space="preserve"> / </v>
      </c>
      <c r="I1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5" s="1"/>
    </row>
    <row r="16" spans="1:11" ht="17" x14ac:dyDescent="0.2">
      <c r="A16" s="20"/>
      <c r="B16" s="9" t="str">
        <f>_xlfn.CONCAT(_xlfn.XLOOKUP(KOMPLET[[#This Row],[POSTAVA]],I[POSTAVA],I[VSTUPY],0)," / ",_xlfn.XLOOKUP(KOMPLET[[#This Row],[POSTAVA]],I[POSTAVA],I[REPLIKY],0))</f>
        <v xml:space="preserve"> / </v>
      </c>
      <c r="C16" s="9" t="str">
        <f>_xlfn.CONCAT(_xlfn.XLOOKUP(KOMPLET[[#This Row],[POSTAVA]],II[POSTAVA],II[VSTUPY],0)," / ",_xlfn.XLOOKUP(KOMPLET[[#This Row],[POSTAVA]],II[POSTAVA],II[REPLIKY],0))</f>
        <v xml:space="preserve"> / </v>
      </c>
      <c r="D16" s="9" t="str">
        <f>_xlfn.CONCAT(_xlfn.XLOOKUP(KOMPLET[[#This Row],[POSTAVA]],III[POSTAVA],III[VSTUPY],0)," / ",_xlfn.XLOOKUP(KOMPLET[[#This Row],[POSTAVA]],III[POSTAVA],III[REPLIKY],0))</f>
        <v xml:space="preserve"> / </v>
      </c>
      <c r="E16" s="9" t="str">
        <f>_xlfn.CONCAT(_xlfn.XLOOKUP(KOMPLET[[#This Row],[POSTAVA]],IV[POSTAVA],IV[VSTUPY],0)," / ",_xlfn.XLOOKUP(KOMPLET[[#This Row],[POSTAVA]],IV[POSTAVA],IV[REPLIKY],0))</f>
        <v xml:space="preserve"> / </v>
      </c>
      <c r="F16" s="9" t="str">
        <f>_xlfn.CONCAT(_xlfn.XLOOKUP(KOMPLET[[#This Row],[POSTAVA]],V[POSTAVA],V[VSTUPY],0)," / ",_xlfn.XLOOKUP(KOMPLET[[#This Row],[POSTAVA]],V[POSTAVA],V[REPLIKY],0))</f>
        <v xml:space="preserve"> / </v>
      </c>
      <c r="G16" s="9" t="str">
        <f>_xlfn.CONCAT(_xlfn.XLOOKUP(KOMPLET[[#This Row],[POSTAVA]],VI[POSTAVA],VI[VSTUPY],0)," / ",_xlfn.XLOOKUP(KOMPLET[[#This Row],[POSTAVA]],VI[POSTAVA],VI[REPLIKY],0))</f>
        <v xml:space="preserve"> / </v>
      </c>
      <c r="I1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6" s="6"/>
    </row>
    <row r="17" spans="1:11" ht="17" x14ac:dyDescent="0.2">
      <c r="A17" s="20"/>
      <c r="B17" s="9" t="str">
        <f>_xlfn.CONCAT(_xlfn.XLOOKUP(KOMPLET[[#This Row],[POSTAVA]],I[POSTAVA],I[VSTUPY],0)," / ",_xlfn.XLOOKUP(KOMPLET[[#This Row],[POSTAVA]],I[POSTAVA],I[REPLIKY],0))</f>
        <v xml:space="preserve"> / </v>
      </c>
      <c r="C17" s="9" t="str">
        <f>_xlfn.CONCAT(_xlfn.XLOOKUP(KOMPLET[[#This Row],[POSTAVA]],II[POSTAVA],II[VSTUPY],0)," / ",_xlfn.XLOOKUP(KOMPLET[[#This Row],[POSTAVA]],II[POSTAVA],II[REPLIKY],0))</f>
        <v xml:space="preserve"> / </v>
      </c>
      <c r="D17" s="9" t="str">
        <f>_xlfn.CONCAT(_xlfn.XLOOKUP(KOMPLET[[#This Row],[POSTAVA]],III[POSTAVA],III[VSTUPY],0)," / ",_xlfn.XLOOKUP(KOMPLET[[#This Row],[POSTAVA]],III[POSTAVA],III[REPLIKY],0))</f>
        <v xml:space="preserve"> / </v>
      </c>
      <c r="E17" s="9" t="str">
        <f>_xlfn.CONCAT(_xlfn.XLOOKUP(KOMPLET[[#This Row],[POSTAVA]],IV[POSTAVA],IV[VSTUPY],0)," / ",_xlfn.XLOOKUP(KOMPLET[[#This Row],[POSTAVA]],IV[POSTAVA],IV[REPLIKY],0))</f>
        <v xml:space="preserve"> / </v>
      </c>
      <c r="F17" s="9" t="str">
        <f>_xlfn.CONCAT(_xlfn.XLOOKUP(KOMPLET[[#This Row],[POSTAVA]],V[POSTAVA],V[VSTUPY],0)," / ",_xlfn.XLOOKUP(KOMPLET[[#This Row],[POSTAVA]],V[POSTAVA],V[REPLIKY],0))</f>
        <v xml:space="preserve"> / </v>
      </c>
      <c r="G17" s="9" t="str">
        <f>_xlfn.CONCAT(_xlfn.XLOOKUP(KOMPLET[[#This Row],[POSTAVA]],VI[POSTAVA],VI[VSTUPY],0)," / ",_xlfn.XLOOKUP(KOMPLET[[#This Row],[POSTAVA]],VI[POSTAVA],VI[REPLIKY],0))</f>
        <v xml:space="preserve"> / </v>
      </c>
      <c r="I1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7" s="1"/>
    </row>
    <row r="18" spans="1:11" ht="17" x14ac:dyDescent="0.2">
      <c r="A18" s="20"/>
      <c r="B18" s="9" t="str">
        <f>_xlfn.CONCAT(_xlfn.XLOOKUP(KOMPLET[[#This Row],[POSTAVA]],I[POSTAVA],I[VSTUPY],0)," / ",_xlfn.XLOOKUP(KOMPLET[[#This Row],[POSTAVA]],I[POSTAVA],I[REPLIKY],0))</f>
        <v xml:space="preserve"> / </v>
      </c>
      <c r="C18" s="9" t="str">
        <f>_xlfn.CONCAT(_xlfn.XLOOKUP(KOMPLET[[#This Row],[POSTAVA]],II[POSTAVA],II[VSTUPY],0)," / ",_xlfn.XLOOKUP(KOMPLET[[#This Row],[POSTAVA]],II[POSTAVA],II[REPLIKY],0))</f>
        <v xml:space="preserve"> / </v>
      </c>
      <c r="D18" s="9" t="str">
        <f>_xlfn.CONCAT(_xlfn.XLOOKUP(KOMPLET[[#This Row],[POSTAVA]],III[POSTAVA],III[VSTUPY],0)," / ",_xlfn.XLOOKUP(KOMPLET[[#This Row],[POSTAVA]],III[POSTAVA],III[REPLIKY],0))</f>
        <v xml:space="preserve"> / </v>
      </c>
      <c r="E18" s="9" t="str">
        <f>_xlfn.CONCAT(_xlfn.XLOOKUP(KOMPLET[[#This Row],[POSTAVA]],IV[POSTAVA],IV[VSTUPY],0)," / ",_xlfn.XLOOKUP(KOMPLET[[#This Row],[POSTAVA]],IV[POSTAVA],IV[REPLIKY],0))</f>
        <v xml:space="preserve"> / </v>
      </c>
      <c r="F18" s="9" t="str">
        <f>_xlfn.CONCAT(_xlfn.XLOOKUP(KOMPLET[[#This Row],[POSTAVA]],V[POSTAVA],V[VSTUPY],0)," / ",_xlfn.XLOOKUP(KOMPLET[[#This Row],[POSTAVA]],V[POSTAVA],V[REPLIKY],0))</f>
        <v xml:space="preserve"> / </v>
      </c>
      <c r="G18" s="9" t="str">
        <f>_xlfn.CONCAT(_xlfn.XLOOKUP(KOMPLET[[#This Row],[POSTAVA]],VI[POSTAVA],VI[VSTUPY],0)," / ",_xlfn.XLOOKUP(KOMPLET[[#This Row],[POSTAVA]],VI[POSTAVA],VI[REPLIKY],0))</f>
        <v xml:space="preserve"> / </v>
      </c>
      <c r="I1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8" s="1"/>
    </row>
    <row r="19" spans="1:11" ht="17" x14ac:dyDescent="0.2">
      <c r="A19" s="20"/>
      <c r="B19" s="9" t="str">
        <f>_xlfn.CONCAT(_xlfn.XLOOKUP(KOMPLET[[#This Row],[POSTAVA]],I[POSTAVA],I[VSTUPY],0)," / ",_xlfn.XLOOKUP(KOMPLET[[#This Row],[POSTAVA]],I[POSTAVA],I[REPLIKY],0))</f>
        <v xml:space="preserve"> / </v>
      </c>
      <c r="C19" s="9" t="str">
        <f>_xlfn.CONCAT(_xlfn.XLOOKUP(KOMPLET[[#This Row],[POSTAVA]],II[POSTAVA],II[VSTUPY],0)," / ",_xlfn.XLOOKUP(KOMPLET[[#This Row],[POSTAVA]],II[POSTAVA],II[REPLIKY],0))</f>
        <v xml:space="preserve"> / </v>
      </c>
      <c r="D19" s="9" t="str">
        <f>_xlfn.CONCAT(_xlfn.XLOOKUP(KOMPLET[[#This Row],[POSTAVA]],III[POSTAVA],III[VSTUPY],0)," / ",_xlfn.XLOOKUP(KOMPLET[[#This Row],[POSTAVA]],III[POSTAVA],III[REPLIKY],0))</f>
        <v xml:space="preserve"> / </v>
      </c>
      <c r="E19" s="9" t="str">
        <f>_xlfn.CONCAT(_xlfn.XLOOKUP(KOMPLET[[#This Row],[POSTAVA]],IV[POSTAVA],IV[VSTUPY],0)," / ",_xlfn.XLOOKUP(KOMPLET[[#This Row],[POSTAVA]],IV[POSTAVA],IV[REPLIKY],0))</f>
        <v xml:space="preserve"> / </v>
      </c>
      <c r="F19" s="9" t="str">
        <f>_xlfn.CONCAT(_xlfn.XLOOKUP(KOMPLET[[#This Row],[POSTAVA]],V[POSTAVA],V[VSTUPY],0)," / ",_xlfn.XLOOKUP(KOMPLET[[#This Row],[POSTAVA]],V[POSTAVA],V[REPLIKY],0))</f>
        <v xml:space="preserve"> / </v>
      </c>
      <c r="G19" s="9" t="str">
        <f>_xlfn.CONCAT(_xlfn.XLOOKUP(KOMPLET[[#This Row],[POSTAVA]],VI[POSTAVA],VI[VSTUPY],0)," / ",_xlfn.XLOOKUP(KOMPLET[[#This Row],[POSTAVA]],VI[POSTAVA],VI[REPLIKY],0))</f>
        <v xml:space="preserve"> / </v>
      </c>
      <c r="I1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9" s="1"/>
    </row>
    <row r="20" spans="1:11" ht="17" x14ac:dyDescent="0.2">
      <c r="A20" s="20"/>
      <c r="B20" s="9" t="str">
        <f>_xlfn.CONCAT(_xlfn.XLOOKUP(KOMPLET[[#This Row],[POSTAVA]],I[POSTAVA],I[VSTUPY],0)," / ",_xlfn.XLOOKUP(KOMPLET[[#This Row],[POSTAVA]],I[POSTAVA],I[REPLIKY],0))</f>
        <v xml:space="preserve"> / </v>
      </c>
      <c r="C20" s="9" t="str">
        <f>_xlfn.CONCAT(_xlfn.XLOOKUP(KOMPLET[[#This Row],[POSTAVA]],II[POSTAVA],II[VSTUPY],0)," / ",_xlfn.XLOOKUP(KOMPLET[[#This Row],[POSTAVA]],II[POSTAVA],II[REPLIKY],0))</f>
        <v xml:space="preserve"> / </v>
      </c>
      <c r="D20" s="9" t="str">
        <f>_xlfn.CONCAT(_xlfn.XLOOKUP(KOMPLET[[#This Row],[POSTAVA]],III[POSTAVA],III[VSTUPY],0)," / ",_xlfn.XLOOKUP(KOMPLET[[#This Row],[POSTAVA]],III[POSTAVA],III[REPLIKY],0))</f>
        <v xml:space="preserve"> / </v>
      </c>
      <c r="E20" s="9" t="str">
        <f>_xlfn.CONCAT(_xlfn.XLOOKUP(KOMPLET[[#This Row],[POSTAVA]],IV[POSTAVA],IV[VSTUPY],0)," / ",_xlfn.XLOOKUP(KOMPLET[[#This Row],[POSTAVA]],IV[POSTAVA],IV[REPLIKY],0))</f>
        <v xml:space="preserve"> / </v>
      </c>
      <c r="F20" s="9" t="str">
        <f>_xlfn.CONCAT(_xlfn.XLOOKUP(KOMPLET[[#This Row],[POSTAVA]],V[POSTAVA],V[VSTUPY],0)," / ",_xlfn.XLOOKUP(KOMPLET[[#This Row],[POSTAVA]],V[POSTAVA],V[REPLIKY],0))</f>
        <v xml:space="preserve"> / </v>
      </c>
      <c r="G20" s="9" t="str">
        <f>_xlfn.CONCAT(_xlfn.XLOOKUP(KOMPLET[[#This Row],[POSTAVA]],VI[POSTAVA],VI[VSTUPY],0)," / ",_xlfn.XLOOKUP(KOMPLET[[#This Row],[POSTAVA]],VI[POSTAVA],VI[REPLIKY],0))</f>
        <v xml:space="preserve"> / </v>
      </c>
      <c r="I2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0" s="1"/>
    </row>
    <row r="21" spans="1:11" ht="17" x14ac:dyDescent="0.2">
      <c r="A21" s="20"/>
      <c r="B21" s="9" t="str">
        <f>_xlfn.CONCAT(_xlfn.XLOOKUP(KOMPLET[[#This Row],[POSTAVA]],I[POSTAVA],I[VSTUPY],0)," / ",_xlfn.XLOOKUP(KOMPLET[[#This Row],[POSTAVA]],I[POSTAVA],I[REPLIKY],0))</f>
        <v xml:space="preserve"> / </v>
      </c>
      <c r="C21" s="9" t="str">
        <f>_xlfn.CONCAT(_xlfn.XLOOKUP(KOMPLET[[#This Row],[POSTAVA]],II[POSTAVA],II[VSTUPY],0)," / ",_xlfn.XLOOKUP(KOMPLET[[#This Row],[POSTAVA]],II[POSTAVA],II[REPLIKY],0))</f>
        <v xml:space="preserve"> / </v>
      </c>
      <c r="D21" s="9" t="str">
        <f>_xlfn.CONCAT(_xlfn.XLOOKUP(KOMPLET[[#This Row],[POSTAVA]],III[POSTAVA],III[VSTUPY],0)," / ",_xlfn.XLOOKUP(KOMPLET[[#This Row],[POSTAVA]],III[POSTAVA],III[REPLIKY],0))</f>
        <v xml:space="preserve"> / </v>
      </c>
      <c r="E21" s="9" t="str">
        <f>_xlfn.CONCAT(_xlfn.XLOOKUP(KOMPLET[[#This Row],[POSTAVA]],IV[POSTAVA],IV[VSTUPY],0)," / ",_xlfn.XLOOKUP(KOMPLET[[#This Row],[POSTAVA]],IV[POSTAVA],IV[REPLIKY],0))</f>
        <v xml:space="preserve"> / </v>
      </c>
      <c r="F21" s="9" t="str">
        <f>_xlfn.CONCAT(_xlfn.XLOOKUP(KOMPLET[[#This Row],[POSTAVA]],V[POSTAVA],V[VSTUPY],0)," / ",_xlfn.XLOOKUP(KOMPLET[[#This Row],[POSTAVA]],V[POSTAVA],V[REPLIKY],0))</f>
        <v xml:space="preserve"> / </v>
      </c>
      <c r="G21" s="9" t="str">
        <f>_xlfn.CONCAT(_xlfn.XLOOKUP(KOMPLET[[#This Row],[POSTAVA]],VI[POSTAVA],VI[VSTUPY],0)," / ",_xlfn.XLOOKUP(KOMPLET[[#This Row],[POSTAVA]],VI[POSTAVA],VI[REPLIKY],0))</f>
        <v xml:space="preserve"> / </v>
      </c>
      <c r="I2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1" s="1"/>
    </row>
    <row r="22" spans="1:11" ht="17" x14ac:dyDescent="0.2">
      <c r="A22" s="26"/>
      <c r="B22" s="9" t="str">
        <f>_xlfn.CONCAT(_xlfn.XLOOKUP(KOMPLET[[#This Row],[POSTAVA]],I[POSTAVA],I[VSTUPY],0)," / ",_xlfn.XLOOKUP(KOMPLET[[#This Row],[POSTAVA]],I[POSTAVA],I[REPLIKY],0))</f>
        <v xml:space="preserve"> / </v>
      </c>
      <c r="C22" s="9" t="str">
        <f>_xlfn.CONCAT(_xlfn.XLOOKUP(KOMPLET[[#This Row],[POSTAVA]],II[POSTAVA],II[VSTUPY],0)," / ",_xlfn.XLOOKUP(KOMPLET[[#This Row],[POSTAVA]],II[POSTAVA],II[REPLIKY],0))</f>
        <v xml:space="preserve"> / </v>
      </c>
      <c r="D22" s="9" t="str">
        <f>_xlfn.CONCAT(_xlfn.XLOOKUP(KOMPLET[[#This Row],[POSTAVA]],III[POSTAVA],III[VSTUPY],0)," / ",_xlfn.XLOOKUP(KOMPLET[[#This Row],[POSTAVA]],III[POSTAVA],III[REPLIKY],0))</f>
        <v xml:space="preserve"> / </v>
      </c>
      <c r="E22" s="9" t="str">
        <f>_xlfn.CONCAT(_xlfn.XLOOKUP(KOMPLET[[#This Row],[POSTAVA]],IV[POSTAVA],IV[VSTUPY],0)," / ",_xlfn.XLOOKUP(KOMPLET[[#This Row],[POSTAVA]],IV[POSTAVA],IV[REPLIKY],0))</f>
        <v xml:space="preserve"> / </v>
      </c>
      <c r="F22" s="9" t="str">
        <f>_xlfn.CONCAT(_xlfn.XLOOKUP(KOMPLET[[#This Row],[POSTAVA]],V[POSTAVA],V[VSTUPY],0)," / ",_xlfn.XLOOKUP(KOMPLET[[#This Row],[POSTAVA]],V[POSTAVA],V[REPLIKY],0))</f>
        <v xml:space="preserve"> / </v>
      </c>
      <c r="G22" s="9" t="str">
        <f>_xlfn.CONCAT(_xlfn.XLOOKUP(KOMPLET[[#This Row],[POSTAVA]],VI[POSTAVA],VI[VSTUPY],0)," / ",_xlfn.XLOOKUP(KOMPLET[[#This Row],[POSTAVA]],VI[POSTAVA],VI[REPLIKY],0))</f>
        <v xml:space="preserve"> / </v>
      </c>
      <c r="I2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2" s="1"/>
    </row>
    <row r="23" spans="1:11" ht="17" x14ac:dyDescent="0.2">
      <c r="A23" s="20"/>
      <c r="B23" s="9" t="str">
        <f>_xlfn.CONCAT(_xlfn.XLOOKUP(KOMPLET[[#This Row],[POSTAVA]],I[POSTAVA],I[VSTUPY],0)," / ",_xlfn.XLOOKUP(KOMPLET[[#This Row],[POSTAVA]],I[POSTAVA],I[REPLIKY],0))</f>
        <v xml:space="preserve"> / </v>
      </c>
      <c r="C23" s="9" t="str">
        <f>_xlfn.CONCAT(_xlfn.XLOOKUP(KOMPLET[[#This Row],[POSTAVA]],II[POSTAVA],II[VSTUPY],0)," / ",_xlfn.XLOOKUP(KOMPLET[[#This Row],[POSTAVA]],II[POSTAVA],II[REPLIKY],0))</f>
        <v xml:space="preserve"> / </v>
      </c>
      <c r="D23" s="9" t="str">
        <f>_xlfn.CONCAT(_xlfn.XLOOKUP(KOMPLET[[#This Row],[POSTAVA]],III[POSTAVA],III[VSTUPY],0)," / ",_xlfn.XLOOKUP(KOMPLET[[#This Row],[POSTAVA]],III[POSTAVA],III[REPLIKY],0))</f>
        <v xml:space="preserve"> / </v>
      </c>
      <c r="E23" s="9" t="str">
        <f>_xlfn.CONCAT(_xlfn.XLOOKUP(KOMPLET[[#This Row],[POSTAVA]],IV[POSTAVA],IV[VSTUPY],0)," / ",_xlfn.XLOOKUP(KOMPLET[[#This Row],[POSTAVA]],IV[POSTAVA],IV[REPLIKY],0))</f>
        <v xml:space="preserve"> / </v>
      </c>
      <c r="F23" s="9" t="str">
        <f>_xlfn.CONCAT(_xlfn.XLOOKUP(KOMPLET[[#This Row],[POSTAVA]],V[POSTAVA],V[VSTUPY],0)," / ",_xlfn.XLOOKUP(KOMPLET[[#This Row],[POSTAVA]],V[POSTAVA],V[REPLIKY],0))</f>
        <v xml:space="preserve"> / </v>
      </c>
      <c r="G23" s="9" t="str">
        <f>_xlfn.CONCAT(_xlfn.XLOOKUP(KOMPLET[[#This Row],[POSTAVA]],VI[POSTAVA],VI[VSTUPY],0)," / ",_xlfn.XLOOKUP(KOMPLET[[#This Row],[POSTAVA]],VI[POSTAVA],VI[REPLIKY],0))</f>
        <v xml:space="preserve"> / </v>
      </c>
      <c r="I2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3" s="1"/>
    </row>
    <row r="24" spans="1:11" ht="17" x14ac:dyDescent="0.2">
      <c r="A24" s="20"/>
      <c r="B24" s="9" t="str">
        <f>_xlfn.CONCAT(_xlfn.XLOOKUP(KOMPLET[[#This Row],[POSTAVA]],I[POSTAVA],I[VSTUPY],0)," / ",_xlfn.XLOOKUP(KOMPLET[[#This Row],[POSTAVA]],I[POSTAVA],I[REPLIKY],0))</f>
        <v xml:space="preserve"> / </v>
      </c>
      <c r="C24" s="9" t="str">
        <f>_xlfn.CONCAT(_xlfn.XLOOKUP(KOMPLET[[#This Row],[POSTAVA]],II[POSTAVA],II[VSTUPY],0)," / ",_xlfn.XLOOKUP(KOMPLET[[#This Row],[POSTAVA]],II[POSTAVA],II[REPLIKY],0))</f>
        <v xml:space="preserve"> / </v>
      </c>
      <c r="D24" s="9" t="str">
        <f>_xlfn.CONCAT(_xlfn.XLOOKUP(KOMPLET[[#This Row],[POSTAVA]],III[POSTAVA],III[VSTUPY],0)," / ",_xlfn.XLOOKUP(KOMPLET[[#This Row],[POSTAVA]],III[POSTAVA],III[REPLIKY],0))</f>
        <v xml:space="preserve"> / </v>
      </c>
      <c r="E24" s="9" t="str">
        <f>_xlfn.CONCAT(_xlfn.XLOOKUP(KOMPLET[[#This Row],[POSTAVA]],IV[POSTAVA],IV[VSTUPY],0)," / ",_xlfn.XLOOKUP(KOMPLET[[#This Row],[POSTAVA]],IV[POSTAVA],IV[REPLIKY],0))</f>
        <v xml:space="preserve"> / </v>
      </c>
      <c r="F24" s="9" t="str">
        <f>_xlfn.CONCAT(_xlfn.XLOOKUP(KOMPLET[[#This Row],[POSTAVA]],V[POSTAVA],V[VSTUPY],0)," / ",_xlfn.XLOOKUP(KOMPLET[[#This Row],[POSTAVA]],V[POSTAVA],V[REPLIKY],0))</f>
        <v xml:space="preserve"> / </v>
      </c>
      <c r="G24" s="9" t="str">
        <f>_xlfn.CONCAT(_xlfn.XLOOKUP(KOMPLET[[#This Row],[POSTAVA]],VI[POSTAVA],VI[VSTUPY],0)," / ",_xlfn.XLOOKUP(KOMPLET[[#This Row],[POSTAVA]],VI[POSTAVA],VI[REPLIKY],0))</f>
        <v xml:space="preserve"> / </v>
      </c>
      <c r="I2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4" s="1"/>
    </row>
    <row r="25" spans="1:11" ht="17" x14ac:dyDescent="0.2">
      <c r="A25" s="20"/>
      <c r="B25" s="9" t="str">
        <f>_xlfn.CONCAT(_xlfn.XLOOKUP(KOMPLET[[#This Row],[POSTAVA]],I[POSTAVA],I[VSTUPY],0)," / ",_xlfn.XLOOKUP(KOMPLET[[#This Row],[POSTAVA]],I[POSTAVA],I[REPLIKY],0))</f>
        <v xml:space="preserve"> / </v>
      </c>
      <c r="C25" s="9" t="str">
        <f>_xlfn.CONCAT(_xlfn.XLOOKUP(KOMPLET[[#This Row],[POSTAVA]],II[POSTAVA],II[VSTUPY],0)," / ",_xlfn.XLOOKUP(KOMPLET[[#This Row],[POSTAVA]],II[POSTAVA],II[REPLIKY],0))</f>
        <v xml:space="preserve"> / </v>
      </c>
      <c r="D25" s="9" t="str">
        <f>_xlfn.CONCAT(_xlfn.XLOOKUP(KOMPLET[[#This Row],[POSTAVA]],III[POSTAVA],III[VSTUPY],0)," / ",_xlfn.XLOOKUP(KOMPLET[[#This Row],[POSTAVA]],III[POSTAVA],III[REPLIKY],0))</f>
        <v xml:space="preserve"> / </v>
      </c>
      <c r="E25" s="9" t="str">
        <f>_xlfn.CONCAT(_xlfn.XLOOKUP(KOMPLET[[#This Row],[POSTAVA]],IV[POSTAVA],IV[VSTUPY],0)," / ",_xlfn.XLOOKUP(KOMPLET[[#This Row],[POSTAVA]],IV[POSTAVA],IV[REPLIKY],0))</f>
        <v xml:space="preserve"> / </v>
      </c>
      <c r="F25" s="9" t="str">
        <f>_xlfn.CONCAT(_xlfn.XLOOKUP(KOMPLET[[#This Row],[POSTAVA]],V[POSTAVA],V[VSTUPY],0)," / ",_xlfn.XLOOKUP(KOMPLET[[#This Row],[POSTAVA]],V[POSTAVA],V[REPLIKY],0))</f>
        <v xml:space="preserve"> / </v>
      </c>
      <c r="G25" s="9" t="str">
        <f>_xlfn.CONCAT(_xlfn.XLOOKUP(KOMPLET[[#This Row],[POSTAVA]],VI[POSTAVA],VI[VSTUPY],0)," / ",_xlfn.XLOOKUP(KOMPLET[[#This Row],[POSTAVA]],VI[POSTAVA],VI[REPLIKY],0))</f>
        <v xml:space="preserve"> / </v>
      </c>
      <c r="I2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5" s="1"/>
    </row>
    <row r="26" spans="1:11" ht="17" x14ac:dyDescent="0.2">
      <c r="A26" s="20"/>
      <c r="B26" s="9" t="str">
        <f>_xlfn.CONCAT(_xlfn.XLOOKUP(KOMPLET[[#This Row],[POSTAVA]],I[POSTAVA],I[VSTUPY],0)," / ",_xlfn.XLOOKUP(KOMPLET[[#This Row],[POSTAVA]],I[POSTAVA],I[REPLIKY],0))</f>
        <v xml:space="preserve"> / </v>
      </c>
      <c r="C26" s="9" t="str">
        <f>_xlfn.CONCAT(_xlfn.XLOOKUP(KOMPLET[[#This Row],[POSTAVA]],II[POSTAVA],II[VSTUPY],0)," / ",_xlfn.XLOOKUP(KOMPLET[[#This Row],[POSTAVA]],II[POSTAVA],II[REPLIKY],0))</f>
        <v xml:space="preserve"> / </v>
      </c>
      <c r="D26" s="9" t="str">
        <f>_xlfn.CONCAT(_xlfn.XLOOKUP(KOMPLET[[#This Row],[POSTAVA]],III[POSTAVA],III[VSTUPY],0)," / ",_xlfn.XLOOKUP(KOMPLET[[#This Row],[POSTAVA]],III[POSTAVA],III[REPLIKY],0))</f>
        <v xml:space="preserve"> / </v>
      </c>
      <c r="E26" s="9" t="str">
        <f>_xlfn.CONCAT(_xlfn.XLOOKUP(KOMPLET[[#This Row],[POSTAVA]],IV[POSTAVA],IV[VSTUPY],0)," / ",_xlfn.XLOOKUP(KOMPLET[[#This Row],[POSTAVA]],IV[POSTAVA],IV[REPLIKY],0))</f>
        <v xml:space="preserve"> / </v>
      </c>
      <c r="F26" s="9" t="str">
        <f>_xlfn.CONCAT(_xlfn.XLOOKUP(KOMPLET[[#This Row],[POSTAVA]],V[POSTAVA],V[VSTUPY],0)," / ",_xlfn.XLOOKUP(KOMPLET[[#This Row],[POSTAVA]],V[POSTAVA],V[REPLIKY],0))</f>
        <v xml:space="preserve"> / </v>
      </c>
      <c r="G26" s="9" t="str">
        <f>_xlfn.CONCAT(_xlfn.XLOOKUP(KOMPLET[[#This Row],[POSTAVA]],VI[POSTAVA],VI[VSTUPY],0)," / ",_xlfn.XLOOKUP(KOMPLET[[#This Row],[POSTAVA]],VI[POSTAVA],VI[REPLIKY],0))</f>
        <v xml:space="preserve"> / </v>
      </c>
      <c r="I2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6" s="1"/>
    </row>
    <row r="27" spans="1:11" ht="17" x14ac:dyDescent="0.2">
      <c r="A27" s="20"/>
      <c r="B27" s="9" t="str">
        <f>_xlfn.CONCAT(_xlfn.XLOOKUP(KOMPLET[[#This Row],[POSTAVA]],I[POSTAVA],I[VSTUPY],0)," / ",_xlfn.XLOOKUP(KOMPLET[[#This Row],[POSTAVA]],I[POSTAVA],I[REPLIKY],0))</f>
        <v xml:space="preserve"> / </v>
      </c>
      <c r="C27" s="9" t="str">
        <f>_xlfn.CONCAT(_xlfn.XLOOKUP(KOMPLET[[#This Row],[POSTAVA]],II[POSTAVA],II[VSTUPY],0)," / ",_xlfn.XLOOKUP(KOMPLET[[#This Row],[POSTAVA]],II[POSTAVA],II[REPLIKY],0))</f>
        <v xml:space="preserve"> / </v>
      </c>
      <c r="D27" s="9" t="str">
        <f>_xlfn.CONCAT(_xlfn.XLOOKUP(KOMPLET[[#This Row],[POSTAVA]],III[POSTAVA],III[VSTUPY],0)," / ",_xlfn.XLOOKUP(KOMPLET[[#This Row],[POSTAVA]],III[POSTAVA],III[REPLIKY],0))</f>
        <v xml:space="preserve"> / </v>
      </c>
      <c r="E27" s="9" t="str">
        <f>_xlfn.CONCAT(_xlfn.XLOOKUP(KOMPLET[[#This Row],[POSTAVA]],IV[POSTAVA],IV[VSTUPY],0)," / ",_xlfn.XLOOKUP(KOMPLET[[#This Row],[POSTAVA]],IV[POSTAVA],IV[REPLIKY],0))</f>
        <v xml:space="preserve"> / </v>
      </c>
      <c r="F27" s="9" t="str">
        <f>_xlfn.CONCAT(_xlfn.XLOOKUP(KOMPLET[[#This Row],[POSTAVA]],V[POSTAVA],V[VSTUPY],0)," / ",_xlfn.XLOOKUP(KOMPLET[[#This Row],[POSTAVA]],V[POSTAVA],V[REPLIKY],0))</f>
        <v xml:space="preserve"> / </v>
      </c>
      <c r="G27" s="9" t="str">
        <f>_xlfn.CONCAT(_xlfn.XLOOKUP(KOMPLET[[#This Row],[POSTAVA]],VI[POSTAVA],VI[VSTUPY],0)," / ",_xlfn.XLOOKUP(KOMPLET[[#This Row],[POSTAVA]],VI[POSTAVA],VI[REPLIKY],0))</f>
        <v xml:space="preserve"> / </v>
      </c>
      <c r="I2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7" s="1"/>
    </row>
    <row r="28" spans="1:11" ht="17" x14ac:dyDescent="0.2">
      <c r="A28" s="20"/>
      <c r="B28" s="9" t="str">
        <f>_xlfn.CONCAT(_xlfn.XLOOKUP(KOMPLET[[#This Row],[POSTAVA]],I[POSTAVA],I[VSTUPY],0)," / ",_xlfn.XLOOKUP(KOMPLET[[#This Row],[POSTAVA]],I[POSTAVA],I[REPLIKY],0))</f>
        <v xml:space="preserve"> / </v>
      </c>
      <c r="C28" s="9" t="str">
        <f>_xlfn.CONCAT(_xlfn.XLOOKUP(KOMPLET[[#This Row],[POSTAVA]],II[POSTAVA],II[VSTUPY],0)," / ",_xlfn.XLOOKUP(KOMPLET[[#This Row],[POSTAVA]],II[POSTAVA],II[REPLIKY],0))</f>
        <v xml:space="preserve"> / </v>
      </c>
      <c r="D28" s="9" t="str">
        <f>_xlfn.CONCAT(_xlfn.XLOOKUP(KOMPLET[[#This Row],[POSTAVA]],III[POSTAVA],III[VSTUPY],0)," / ",_xlfn.XLOOKUP(KOMPLET[[#This Row],[POSTAVA]],III[POSTAVA],III[REPLIKY],0))</f>
        <v xml:space="preserve"> / </v>
      </c>
      <c r="E28" s="9" t="str">
        <f>_xlfn.CONCAT(_xlfn.XLOOKUP(KOMPLET[[#This Row],[POSTAVA]],IV[POSTAVA],IV[VSTUPY],0)," / ",_xlfn.XLOOKUP(KOMPLET[[#This Row],[POSTAVA]],IV[POSTAVA],IV[REPLIKY],0))</f>
        <v xml:space="preserve"> / </v>
      </c>
      <c r="F28" s="9" t="str">
        <f>_xlfn.CONCAT(_xlfn.XLOOKUP(KOMPLET[[#This Row],[POSTAVA]],V[POSTAVA],V[VSTUPY],0)," / ",_xlfn.XLOOKUP(KOMPLET[[#This Row],[POSTAVA]],V[POSTAVA],V[REPLIKY],0))</f>
        <v xml:space="preserve"> / </v>
      </c>
      <c r="G28" s="9" t="str">
        <f>_xlfn.CONCAT(_xlfn.XLOOKUP(KOMPLET[[#This Row],[POSTAVA]],VI[POSTAVA],VI[VSTUPY],0)," / ",_xlfn.XLOOKUP(KOMPLET[[#This Row],[POSTAVA]],VI[POSTAVA],VI[REPLIKY],0))</f>
        <v xml:space="preserve"> / </v>
      </c>
      <c r="I2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8" s="1"/>
    </row>
    <row r="29" spans="1:11" ht="17" x14ac:dyDescent="0.2">
      <c r="A29" s="26"/>
      <c r="B29" s="9" t="str">
        <f>_xlfn.CONCAT(_xlfn.XLOOKUP(KOMPLET[[#This Row],[POSTAVA]],I[POSTAVA],I[VSTUPY],0)," / ",_xlfn.XLOOKUP(KOMPLET[[#This Row],[POSTAVA]],I[POSTAVA],I[REPLIKY],0))</f>
        <v xml:space="preserve"> / </v>
      </c>
      <c r="C29" s="9" t="str">
        <f>_xlfn.CONCAT(_xlfn.XLOOKUP(KOMPLET[[#This Row],[POSTAVA]],II[POSTAVA],II[VSTUPY],0)," / ",_xlfn.XLOOKUP(KOMPLET[[#This Row],[POSTAVA]],II[POSTAVA],II[REPLIKY],0))</f>
        <v xml:space="preserve"> / </v>
      </c>
      <c r="D29" s="9" t="str">
        <f>_xlfn.CONCAT(_xlfn.XLOOKUP(KOMPLET[[#This Row],[POSTAVA]],III[POSTAVA],III[VSTUPY],0)," / ",_xlfn.XLOOKUP(KOMPLET[[#This Row],[POSTAVA]],III[POSTAVA],III[REPLIKY],0))</f>
        <v xml:space="preserve"> / </v>
      </c>
      <c r="E29" s="9" t="str">
        <f>_xlfn.CONCAT(_xlfn.XLOOKUP(KOMPLET[[#This Row],[POSTAVA]],IV[POSTAVA],IV[VSTUPY],0)," / ",_xlfn.XLOOKUP(KOMPLET[[#This Row],[POSTAVA]],IV[POSTAVA],IV[REPLIKY],0))</f>
        <v xml:space="preserve"> / </v>
      </c>
      <c r="F29" s="9" t="str">
        <f>_xlfn.CONCAT(_xlfn.XLOOKUP(KOMPLET[[#This Row],[POSTAVA]],V[POSTAVA],V[VSTUPY],0)," / ",_xlfn.XLOOKUP(KOMPLET[[#This Row],[POSTAVA]],V[POSTAVA],V[REPLIKY],0))</f>
        <v xml:space="preserve"> / </v>
      </c>
      <c r="G29" s="9" t="str">
        <f>_xlfn.CONCAT(_xlfn.XLOOKUP(KOMPLET[[#This Row],[POSTAVA]],VI[POSTAVA],VI[VSTUPY],0)," / ",_xlfn.XLOOKUP(KOMPLET[[#This Row],[POSTAVA]],VI[POSTAVA],VI[REPLIKY],0))</f>
        <v xml:space="preserve"> / </v>
      </c>
      <c r="I2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2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29" s="1"/>
    </row>
    <row r="30" spans="1:11" ht="17" x14ac:dyDescent="0.2">
      <c r="A30" s="20"/>
      <c r="B30" s="9" t="str">
        <f>_xlfn.CONCAT(_xlfn.XLOOKUP(KOMPLET[[#This Row],[POSTAVA]],I[POSTAVA],I[VSTUPY],0)," / ",_xlfn.XLOOKUP(KOMPLET[[#This Row],[POSTAVA]],I[POSTAVA],I[REPLIKY],0))</f>
        <v xml:space="preserve"> / </v>
      </c>
      <c r="C30" s="9" t="str">
        <f>_xlfn.CONCAT(_xlfn.XLOOKUP(KOMPLET[[#This Row],[POSTAVA]],II[POSTAVA],II[VSTUPY],0)," / ",_xlfn.XLOOKUP(KOMPLET[[#This Row],[POSTAVA]],II[POSTAVA],II[REPLIKY],0))</f>
        <v xml:space="preserve"> / </v>
      </c>
      <c r="D30" s="9" t="str">
        <f>_xlfn.CONCAT(_xlfn.XLOOKUP(KOMPLET[[#This Row],[POSTAVA]],III[POSTAVA],III[VSTUPY],0)," / ",_xlfn.XLOOKUP(KOMPLET[[#This Row],[POSTAVA]],III[POSTAVA],III[REPLIKY],0))</f>
        <v xml:space="preserve"> / </v>
      </c>
      <c r="E30" s="9" t="str">
        <f>_xlfn.CONCAT(_xlfn.XLOOKUP(KOMPLET[[#This Row],[POSTAVA]],IV[POSTAVA],IV[VSTUPY],0)," / ",_xlfn.XLOOKUP(KOMPLET[[#This Row],[POSTAVA]],IV[POSTAVA],IV[REPLIKY],0))</f>
        <v xml:space="preserve"> / </v>
      </c>
      <c r="F30" s="9" t="str">
        <f>_xlfn.CONCAT(_xlfn.XLOOKUP(KOMPLET[[#This Row],[POSTAVA]],V[POSTAVA],V[VSTUPY],0)," / ",_xlfn.XLOOKUP(KOMPLET[[#This Row],[POSTAVA]],V[POSTAVA],V[REPLIKY],0))</f>
        <v xml:space="preserve"> / </v>
      </c>
      <c r="G30" s="9" t="str">
        <f>_xlfn.CONCAT(_xlfn.XLOOKUP(KOMPLET[[#This Row],[POSTAVA]],VI[POSTAVA],VI[VSTUPY],0)," / ",_xlfn.XLOOKUP(KOMPLET[[#This Row],[POSTAVA]],VI[POSTAVA],VI[REPLIKY],0))</f>
        <v xml:space="preserve"> / </v>
      </c>
      <c r="I3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0" s="6"/>
    </row>
    <row r="31" spans="1:11" ht="17" x14ac:dyDescent="0.2">
      <c r="A31" s="20"/>
      <c r="B31" s="9" t="str">
        <f>_xlfn.CONCAT(_xlfn.XLOOKUP(KOMPLET[[#This Row],[POSTAVA]],I[POSTAVA],I[VSTUPY],0)," / ",_xlfn.XLOOKUP(KOMPLET[[#This Row],[POSTAVA]],I[POSTAVA],I[REPLIKY],0))</f>
        <v xml:space="preserve"> / </v>
      </c>
      <c r="C31" s="9" t="str">
        <f>_xlfn.CONCAT(_xlfn.XLOOKUP(KOMPLET[[#This Row],[POSTAVA]],II[POSTAVA],II[VSTUPY],0)," / ",_xlfn.XLOOKUP(KOMPLET[[#This Row],[POSTAVA]],II[POSTAVA],II[REPLIKY],0))</f>
        <v xml:space="preserve"> / </v>
      </c>
      <c r="D31" s="9" t="str">
        <f>_xlfn.CONCAT(_xlfn.XLOOKUP(KOMPLET[[#This Row],[POSTAVA]],III[POSTAVA],III[VSTUPY],0)," / ",_xlfn.XLOOKUP(KOMPLET[[#This Row],[POSTAVA]],III[POSTAVA],III[REPLIKY],0))</f>
        <v xml:space="preserve"> / </v>
      </c>
      <c r="E31" s="9" t="str">
        <f>_xlfn.CONCAT(_xlfn.XLOOKUP(KOMPLET[[#This Row],[POSTAVA]],IV[POSTAVA],IV[VSTUPY],0)," / ",_xlfn.XLOOKUP(KOMPLET[[#This Row],[POSTAVA]],IV[POSTAVA],IV[REPLIKY],0))</f>
        <v xml:space="preserve"> / </v>
      </c>
      <c r="F31" s="9" t="str">
        <f>_xlfn.CONCAT(_xlfn.XLOOKUP(KOMPLET[[#This Row],[POSTAVA]],V[POSTAVA],V[VSTUPY],0)," / ",_xlfn.XLOOKUP(KOMPLET[[#This Row],[POSTAVA]],V[POSTAVA],V[REPLIKY],0))</f>
        <v xml:space="preserve"> / </v>
      </c>
      <c r="G31" s="9" t="str">
        <f>_xlfn.CONCAT(_xlfn.XLOOKUP(KOMPLET[[#This Row],[POSTAVA]],VI[POSTAVA],VI[VSTUPY],0)," / ",_xlfn.XLOOKUP(KOMPLET[[#This Row],[POSTAVA]],VI[POSTAVA],VI[REPLIKY],0))</f>
        <v xml:space="preserve"> / </v>
      </c>
      <c r="I3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1" s="1"/>
    </row>
    <row r="32" spans="1:11" ht="17" x14ac:dyDescent="0.2">
      <c r="A32" s="20"/>
      <c r="B32" s="9" t="str">
        <f>_xlfn.CONCAT(_xlfn.XLOOKUP(KOMPLET[[#This Row],[POSTAVA]],I[POSTAVA],I[VSTUPY],0)," / ",_xlfn.XLOOKUP(KOMPLET[[#This Row],[POSTAVA]],I[POSTAVA],I[REPLIKY],0))</f>
        <v xml:space="preserve"> / </v>
      </c>
      <c r="C32" s="9" t="str">
        <f>_xlfn.CONCAT(_xlfn.XLOOKUP(KOMPLET[[#This Row],[POSTAVA]],II[POSTAVA],II[VSTUPY],0)," / ",_xlfn.XLOOKUP(KOMPLET[[#This Row],[POSTAVA]],II[POSTAVA],II[REPLIKY],0))</f>
        <v xml:space="preserve"> / </v>
      </c>
      <c r="D32" s="9" t="str">
        <f>_xlfn.CONCAT(_xlfn.XLOOKUP(KOMPLET[[#This Row],[POSTAVA]],III[POSTAVA],III[VSTUPY],0)," / ",_xlfn.XLOOKUP(KOMPLET[[#This Row],[POSTAVA]],III[POSTAVA],III[REPLIKY],0))</f>
        <v xml:space="preserve"> / </v>
      </c>
      <c r="E32" s="9" t="str">
        <f>_xlfn.CONCAT(_xlfn.XLOOKUP(KOMPLET[[#This Row],[POSTAVA]],IV[POSTAVA],IV[VSTUPY],0)," / ",_xlfn.XLOOKUP(KOMPLET[[#This Row],[POSTAVA]],IV[POSTAVA],IV[REPLIKY],0))</f>
        <v xml:space="preserve"> / </v>
      </c>
      <c r="F32" s="9" t="str">
        <f>_xlfn.CONCAT(_xlfn.XLOOKUP(KOMPLET[[#This Row],[POSTAVA]],V[POSTAVA],V[VSTUPY],0)," / ",_xlfn.XLOOKUP(KOMPLET[[#This Row],[POSTAVA]],V[POSTAVA],V[REPLIKY],0))</f>
        <v xml:space="preserve"> / </v>
      </c>
      <c r="G32" s="9" t="str">
        <f>_xlfn.CONCAT(_xlfn.XLOOKUP(KOMPLET[[#This Row],[POSTAVA]],VI[POSTAVA],VI[VSTUPY],0)," / ",_xlfn.XLOOKUP(KOMPLET[[#This Row],[POSTAVA]],VI[POSTAVA],VI[REPLIKY],0))</f>
        <v xml:space="preserve"> / </v>
      </c>
      <c r="I3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2" s="1"/>
    </row>
    <row r="33" spans="1:11" ht="17" x14ac:dyDescent="0.2">
      <c r="A33" s="20"/>
      <c r="B33" s="9" t="str">
        <f>_xlfn.CONCAT(_xlfn.XLOOKUP(KOMPLET[[#This Row],[POSTAVA]],I[POSTAVA],I[VSTUPY],0)," / ",_xlfn.XLOOKUP(KOMPLET[[#This Row],[POSTAVA]],I[POSTAVA],I[REPLIKY],0))</f>
        <v xml:space="preserve"> / </v>
      </c>
      <c r="C33" s="9" t="str">
        <f>_xlfn.CONCAT(_xlfn.XLOOKUP(KOMPLET[[#This Row],[POSTAVA]],II[POSTAVA],II[VSTUPY],0)," / ",_xlfn.XLOOKUP(KOMPLET[[#This Row],[POSTAVA]],II[POSTAVA],II[REPLIKY],0))</f>
        <v xml:space="preserve"> / </v>
      </c>
      <c r="D33" s="9" t="str">
        <f>_xlfn.CONCAT(_xlfn.XLOOKUP(KOMPLET[[#This Row],[POSTAVA]],III[POSTAVA],III[VSTUPY],0)," / ",_xlfn.XLOOKUP(KOMPLET[[#This Row],[POSTAVA]],III[POSTAVA],III[REPLIKY],0))</f>
        <v xml:space="preserve"> / </v>
      </c>
      <c r="E33" s="9" t="str">
        <f>_xlfn.CONCAT(_xlfn.XLOOKUP(KOMPLET[[#This Row],[POSTAVA]],IV[POSTAVA],IV[VSTUPY],0)," / ",_xlfn.XLOOKUP(KOMPLET[[#This Row],[POSTAVA]],IV[POSTAVA],IV[REPLIKY],0))</f>
        <v xml:space="preserve"> / </v>
      </c>
      <c r="F33" s="9" t="str">
        <f>_xlfn.CONCAT(_xlfn.XLOOKUP(KOMPLET[[#This Row],[POSTAVA]],V[POSTAVA],V[VSTUPY],0)," / ",_xlfn.XLOOKUP(KOMPLET[[#This Row],[POSTAVA]],V[POSTAVA],V[REPLIKY],0))</f>
        <v xml:space="preserve"> / </v>
      </c>
      <c r="G33" s="9" t="str">
        <f>_xlfn.CONCAT(_xlfn.XLOOKUP(KOMPLET[[#This Row],[POSTAVA]],VI[POSTAVA],VI[VSTUPY],0)," / ",_xlfn.XLOOKUP(KOMPLET[[#This Row],[POSTAVA]],VI[POSTAVA],VI[REPLIKY],0))</f>
        <v xml:space="preserve"> / </v>
      </c>
      <c r="I3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3" s="1"/>
    </row>
    <row r="34" spans="1:11" ht="17" x14ac:dyDescent="0.2">
      <c r="A34" s="20"/>
      <c r="B34" s="9" t="str">
        <f>_xlfn.CONCAT(_xlfn.XLOOKUP(KOMPLET[[#This Row],[POSTAVA]],I[POSTAVA],I[VSTUPY],0)," / ",_xlfn.XLOOKUP(KOMPLET[[#This Row],[POSTAVA]],I[POSTAVA],I[REPLIKY],0))</f>
        <v xml:space="preserve"> / </v>
      </c>
      <c r="C34" s="9" t="str">
        <f>_xlfn.CONCAT(_xlfn.XLOOKUP(KOMPLET[[#This Row],[POSTAVA]],II[POSTAVA],II[VSTUPY],0)," / ",_xlfn.XLOOKUP(KOMPLET[[#This Row],[POSTAVA]],II[POSTAVA],II[REPLIKY],0))</f>
        <v xml:space="preserve"> / </v>
      </c>
      <c r="D34" s="9" t="str">
        <f>_xlfn.CONCAT(_xlfn.XLOOKUP(KOMPLET[[#This Row],[POSTAVA]],III[POSTAVA],III[VSTUPY],0)," / ",_xlfn.XLOOKUP(KOMPLET[[#This Row],[POSTAVA]],III[POSTAVA],III[REPLIKY],0))</f>
        <v xml:space="preserve"> / </v>
      </c>
      <c r="E34" s="9" t="str">
        <f>_xlfn.CONCAT(_xlfn.XLOOKUP(KOMPLET[[#This Row],[POSTAVA]],IV[POSTAVA],IV[VSTUPY],0)," / ",_xlfn.XLOOKUP(KOMPLET[[#This Row],[POSTAVA]],IV[POSTAVA],IV[REPLIKY],0))</f>
        <v xml:space="preserve"> / </v>
      </c>
      <c r="F34" s="9" t="str">
        <f>_xlfn.CONCAT(_xlfn.XLOOKUP(KOMPLET[[#This Row],[POSTAVA]],V[POSTAVA],V[VSTUPY],0)," / ",_xlfn.XLOOKUP(KOMPLET[[#This Row],[POSTAVA]],V[POSTAVA],V[REPLIKY],0))</f>
        <v xml:space="preserve"> / </v>
      </c>
      <c r="G34" s="9" t="str">
        <f>_xlfn.CONCAT(_xlfn.XLOOKUP(KOMPLET[[#This Row],[POSTAVA]],VI[POSTAVA],VI[VSTUPY],0)," / ",_xlfn.XLOOKUP(KOMPLET[[#This Row],[POSTAVA]],VI[POSTAVA],VI[REPLIKY],0))</f>
        <v xml:space="preserve"> / </v>
      </c>
      <c r="I3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4" s="1"/>
    </row>
    <row r="35" spans="1:11" ht="17" x14ac:dyDescent="0.2">
      <c r="A35" s="20"/>
      <c r="B35" s="9" t="str">
        <f>_xlfn.CONCAT(_xlfn.XLOOKUP(KOMPLET[[#This Row],[POSTAVA]],I[POSTAVA],I[VSTUPY],0)," / ",_xlfn.XLOOKUP(KOMPLET[[#This Row],[POSTAVA]],I[POSTAVA],I[REPLIKY],0))</f>
        <v xml:space="preserve"> / </v>
      </c>
      <c r="C35" s="9" t="str">
        <f>_xlfn.CONCAT(_xlfn.XLOOKUP(KOMPLET[[#This Row],[POSTAVA]],II[POSTAVA],II[VSTUPY],0)," / ",_xlfn.XLOOKUP(KOMPLET[[#This Row],[POSTAVA]],II[POSTAVA],II[REPLIKY],0))</f>
        <v xml:space="preserve"> / </v>
      </c>
      <c r="D35" s="9" t="str">
        <f>_xlfn.CONCAT(_xlfn.XLOOKUP(KOMPLET[[#This Row],[POSTAVA]],III[POSTAVA],III[VSTUPY],0)," / ",_xlfn.XLOOKUP(KOMPLET[[#This Row],[POSTAVA]],III[POSTAVA],III[REPLIKY],0))</f>
        <v xml:space="preserve"> / </v>
      </c>
      <c r="E35" s="9" t="str">
        <f>_xlfn.CONCAT(_xlfn.XLOOKUP(KOMPLET[[#This Row],[POSTAVA]],IV[POSTAVA],IV[VSTUPY],0)," / ",_xlfn.XLOOKUP(KOMPLET[[#This Row],[POSTAVA]],IV[POSTAVA],IV[REPLIKY],0))</f>
        <v xml:space="preserve"> / </v>
      </c>
      <c r="F35" s="9" t="str">
        <f>_xlfn.CONCAT(_xlfn.XLOOKUP(KOMPLET[[#This Row],[POSTAVA]],V[POSTAVA],V[VSTUPY],0)," / ",_xlfn.XLOOKUP(KOMPLET[[#This Row],[POSTAVA]],V[POSTAVA],V[REPLIKY],0))</f>
        <v xml:space="preserve"> / </v>
      </c>
      <c r="G35" s="9" t="str">
        <f>_xlfn.CONCAT(_xlfn.XLOOKUP(KOMPLET[[#This Row],[POSTAVA]],VI[POSTAVA],VI[VSTUPY],0)," / ",_xlfn.XLOOKUP(KOMPLET[[#This Row],[POSTAVA]],VI[POSTAVA],VI[REPLIKY],0))</f>
        <v xml:space="preserve"> / </v>
      </c>
      <c r="I3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5" s="1"/>
    </row>
    <row r="36" spans="1:11" ht="17" x14ac:dyDescent="0.2">
      <c r="A36" s="20"/>
      <c r="B36" s="9" t="str">
        <f>_xlfn.CONCAT(_xlfn.XLOOKUP(KOMPLET[[#This Row],[POSTAVA]],I[POSTAVA],I[VSTUPY],0)," / ",_xlfn.XLOOKUP(KOMPLET[[#This Row],[POSTAVA]],I[POSTAVA],I[REPLIKY],0))</f>
        <v xml:space="preserve"> / </v>
      </c>
      <c r="C36" s="9" t="str">
        <f>_xlfn.CONCAT(_xlfn.XLOOKUP(KOMPLET[[#This Row],[POSTAVA]],II[POSTAVA],II[VSTUPY],0)," / ",_xlfn.XLOOKUP(KOMPLET[[#This Row],[POSTAVA]],II[POSTAVA],II[REPLIKY],0))</f>
        <v xml:space="preserve"> / </v>
      </c>
      <c r="D36" s="9" t="str">
        <f>_xlfn.CONCAT(_xlfn.XLOOKUP(KOMPLET[[#This Row],[POSTAVA]],III[POSTAVA],III[VSTUPY],0)," / ",_xlfn.XLOOKUP(KOMPLET[[#This Row],[POSTAVA]],III[POSTAVA],III[REPLIKY],0))</f>
        <v xml:space="preserve"> / </v>
      </c>
      <c r="E36" s="9" t="str">
        <f>_xlfn.CONCAT(_xlfn.XLOOKUP(KOMPLET[[#This Row],[POSTAVA]],IV[POSTAVA],IV[VSTUPY],0)," / ",_xlfn.XLOOKUP(KOMPLET[[#This Row],[POSTAVA]],IV[POSTAVA],IV[REPLIKY],0))</f>
        <v xml:space="preserve"> / </v>
      </c>
      <c r="F36" s="9" t="str">
        <f>_xlfn.CONCAT(_xlfn.XLOOKUP(KOMPLET[[#This Row],[POSTAVA]],V[POSTAVA],V[VSTUPY],0)," / ",_xlfn.XLOOKUP(KOMPLET[[#This Row],[POSTAVA]],V[POSTAVA],V[REPLIKY],0))</f>
        <v xml:space="preserve"> / </v>
      </c>
      <c r="G36" s="9" t="str">
        <f>_xlfn.CONCAT(_xlfn.XLOOKUP(KOMPLET[[#This Row],[POSTAVA]],VI[POSTAVA],VI[VSTUPY],0)," / ",_xlfn.XLOOKUP(KOMPLET[[#This Row],[POSTAVA]],VI[POSTAVA],VI[REPLIKY],0))</f>
        <v xml:space="preserve"> / </v>
      </c>
      <c r="I3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6" s="1"/>
    </row>
    <row r="37" spans="1:11" ht="17" x14ac:dyDescent="0.2">
      <c r="A37" s="20"/>
      <c r="B37" s="9" t="str">
        <f>_xlfn.CONCAT(_xlfn.XLOOKUP(KOMPLET[[#This Row],[POSTAVA]],I[POSTAVA],I[VSTUPY],0)," / ",_xlfn.XLOOKUP(KOMPLET[[#This Row],[POSTAVA]],I[POSTAVA],I[REPLIKY],0))</f>
        <v xml:space="preserve"> / </v>
      </c>
      <c r="C37" s="9" t="str">
        <f>_xlfn.CONCAT(_xlfn.XLOOKUP(KOMPLET[[#This Row],[POSTAVA]],II[POSTAVA],II[VSTUPY],0)," / ",_xlfn.XLOOKUP(KOMPLET[[#This Row],[POSTAVA]],II[POSTAVA],II[REPLIKY],0))</f>
        <v xml:space="preserve"> / </v>
      </c>
      <c r="D37" s="9" t="str">
        <f>_xlfn.CONCAT(_xlfn.XLOOKUP(KOMPLET[[#This Row],[POSTAVA]],III[POSTAVA],III[VSTUPY],0)," / ",_xlfn.XLOOKUP(KOMPLET[[#This Row],[POSTAVA]],III[POSTAVA],III[REPLIKY],0))</f>
        <v xml:space="preserve"> / </v>
      </c>
      <c r="E37" s="9" t="str">
        <f>_xlfn.CONCAT(_xlfn.XLOOKUP(KOMPLET[[#This Row],[POSTAVA]],IV[POSTAVA],IV[VSTUPY],0)," / ",_xlfn.XLOOKUP(KOMPLET[[#This Row],[POSTAVA]],IV[POSTAVA],IV[REPLIKY],0))</f>
        <v xml:space="preserve"> / </v>
      </c>
      <c r="F37" s="9" t="str">
        <f>_xlfn.CONCAT(_xlfn.XLOOKUP(KOMPLET[[#This Row],[POSTAVA]],V[POSTAVA],V[VSTUPY],0)," / ",_xlfn.XLOOKUP(KOMPLET[[#This Row],[POSTAVA]],V[POSTAVA],V[REPLIKY],0))</f>
        <v xml:space="preserve"> / </v>
      </c>
      <c r="G37" s="9" t="str">
        <f>_xlfn.CONCAT(_xlfn.XLOOKUP(KOMPLET[[#This Row],[POSTAVA]],VI[POSTAVA],VI[VSTUPY],0)," / ",_xlfn.XLOOKUP(KOMPLET[[#This Row],[POSTAVA]],VI[POSTAVA],VI[REPLIKY],0))</f>
        <v xml:space="preserve"> / </v>
      </c>
      <c r="I3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7" s="1"/>
    </row>
    <row r="38" spans="1:11" ht="17" x14ac:dyDescent="0.2">
      <c r="A38" s="20"/>
      <c r="B38" s="9" t="str">
        <f>_xlfn.CONCAT(_xlfn.XLOOKUP(KOMPLET[[#This Row],[POSTAVA]],I[POSTAVA],I[VSTUPY],0)," / ",_xlfn.XLOOKUP(KOMPLET[[#This Row],[POSTAVA]],I[POSTAVA],I[REPLIKY],0))</f>
        <v xml:space="preserve"> / </v>
      </c>
      <c r="C38" s="9" t="str">
        <f>_xlfn.CONCAT(_xlfn.XLOOKUP(KOMPLET[[#This Row],[POSTAVA]],II[POSTAVA],II[VSTUPY],0)," / ",_xlfn.XLOOKUP(KOMPLET[[#This Row],[POSTAVA]],II[POSTAVA],II[REPLIKY],0))</f>
        <v xml:space="preserve"> / </v>
      </c>
      <c r="D38" s="9" t="str">
        <f>_xlfn.CONCAT(_xlfn.XLOOKUP(KOMPLET[[#This Row],[POSTAVA]],III[POSTAVA],III[VSTUPY],0)," / ",_xlfn.XLOOKUP(KOMPLET[[#This Row],[POSTAVA]],III[POSTAVA],III[REPLIKY],0))</f>
        <v xml:space="preserve"> / </v>
      </c>
      <c r="E38" s="9" t="str">
        <f>_xlfn.CONCAT(_xlfn.XLOOKUP(KOMPLET[[#This Row],[POSTAVA]],IV[POSTAVA],IV[VSTUPY],0)," / ",_xlfn.XLOOKUP(KOMPLET[[#This Row],[POSTAVA]],IV[POSTAVA],IV[REPLIKY],0))</f>
        <v xml:space="preserve"> / </v>
      </c>
      <c r="F38" s="9" t="str">
        <f>_xlfn.CONCAT(_xlfn.XLOOKUP(KOMPLET[[#This Row],[POSTAVA]],V[POSTAVA],V[VSTUPY],0)," / ",_xlfn.XLOOKUP(KOMPLET[[#This Row],[POSTAVA]],V[POSTAVA],V[REPLIKY],0))</f>
        <v xml:space="preserve"> / </v>
      </c>
      <c r="G38" s="9" t="str">
        <f>_xlfn.CONCAT(_xlfn.XLOOKUP(KOMPLET[[#This Row],[POSTAVA]],VI[POSTAVA],VI[VSTUPY],0)," / ",_xlfn.XLOOKUP(KOMPLET[[#This Row],[POSTAVA]],VI[POSTAVA],VI[REPLIKY],0))</f>
        <v xml:space="preserve"> / </v>
      </c>
      <c r="I3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8" s="1"/>
    </row>
    <row r="39" spans="1:11" ht="17" x14ac:dyDescent="0.2">
      <c r="A39" s="20"/>
      <c r="B39" s="9" t="str">
        <f>_xlfn.CONCAT(_xlfn.XLOOKUP(KOMPLET[[#This Row],[POSTAVA]],I[POSTAVA],I[VSTUPY],0)," / ",_xlfn.XLOOKUP(KOMPLET[[#This Row],[POSTAVA]],I[POSTAVA],I[REPLIKY],0))</f>
        <v xml:space="preserve"> / </v>
      </c>
      <c r="C39" s="9" t="str">
        <f>_xlfn.CONCAT(_xlfn.XLOOKUP(KOMPLET[[#This Row],[POSTAVA]],II[POSTAVA],II[VSTUPY],0)," / ",_xlfn.XLOOKUP(KOMPLET[[#This Row],[POSTAVA]],II[POSTAVA],II[REPLIKY],0))</f>
        <v xml:space="preserve"> / </v>
      </c>
      <c r="D39" s="9" t="str">
        <f>_xlfn.CONCAT(_xlfn.XLOOKUP(KOMPLET[[#This Row],[POSTAVA]],III[POSTAVA],III[VSTUPY],0)," / ",_xlfn.XLOOKUP(KOMPLET[[#This Row],[POSTAVA]],III[POSTAVA],III[REPLIKY],0))</f>
        <v xml:space="preserve"> / </v>
      </c>
      <c r="E39" s="9" t="str">
        <f>_xlfn.CONCAT(_xlfn.XLOOKUP(KOMPLET[[#This Row],[POSTAVA]],IV[POSTAVA],IV[VSTUPY],0)," / ",_xlfn.XLOOKUP(KOMPLET[[#This Row],[POSTAVA]],IV[POSTAVA],IV[REPLIKY],0))</f>
        <v xml:space="preserve"> / </v>
      </c>
      <c r="F39" s="9" t="str">
        <f>_xlfn.CONCAT(_xlfn.XLOOKUP(KOMPLET[[#This Row],[POSTAVA]],V[POSTAVA],V[VSTUPY],0)," / ",_xlfn.XLOOKUP(KOMPLET[[#This Row],[POSTAVA]],V[POSTAVA],V[REPLIKY],0))</f>
        <v xml:space="preserve"> / </v>
      </c>
      <c r="G39" s="9" t="str">
        <f>_xlfn.CONCAT(_xlfn.XLOOKUP(KOMPLET[[#This Row],[POSTAVA]],VI[POSTAVA],VI[VSTUPY],0)," / ",_xlfn.XLOOKUP(KOMPLET[[#This Row],[POSTAVA]],VI[POSTAVA],VI[REPLIKY],0))</f>
        <v xml:space="preserve"> / </v>
      </c>
      <c r="I3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3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39" s="1"/>
    </row>
    <row r="40" spans="1:11" ht="17" x14ac:dyDescent="0.2">
      <c r="A40" s="26"/>
      <c r="B40" s="9" t="str">
        <f>_xlfn.CONCAT(_xlfn.XLOOKUP(KOMPLET[[#This Row],[POSTAVA]],I[POSTAVA],I[VSTUPY],0)," / ",_xlfn.XLOOKUP(KOMPLET[[#This Row],[POSTAVA]],I[POSTAVA],I[REPLIKY],0))</f>
        <v xml:space="preserve"> / </v>
      </c>
      <c r="C40" s="9" t="str">
        <f>_xlfn.CONCAT(_xlfn.XLOOKUP(KOMPLET[[#This Row],[POSTAVA]],II[POSTAVA],II[VSTUPY],0)," / ",_xlfn.XLOOKUP(KOMPLET[[#This Row],[POSTAVA]],II[POSTAVA],II[REPLIKY],0))</f>
        <v xml:space="preserve"> / </v>
      </c>
      <c r="D40" s="9" t="str">
        <f>_xlfn.CONCAT(_xlfn.XLOOKUP(KOMPLET[[#This Row],[POSTAVA]],III[POSTAVA],III[VSTUPY],0)," / ",_xlfn.XLOOKUP(KOMPLET[[#This Row],[POSTAVA]],III[POSTAVA],III[REPLIKY],0))</f>
        <v xml:space="preserve"> / </v>
      </c>
      <c r="E40" s="9" t="str">
        <f>_xlfn.CONCAT(_xlfn.XLOOKUP(KOMPLET[[#This Row],[POSTAVA]],IV[POSTAVA],IV[VSTUPY],0)," / ",_xlfn.XLOOKUP(KOMPLET[[#This Row],[POSTAVA]],IV[POSTAVA],IV[REPLIKY],0))</f>
        <v xml:space="preserve"> / </v>
      </c>
      <c r="F40" s="9" t="str">
        <f>_xlfn.CONCAT(_xlfn.XLOOKUP(KOMPLET[[#This Row],[POSTAVA]],V[POSTAVA],V[VSTUPY],0)," / ",_xlfn.XLOOKUP(KOMPLET[[#This Row],[POSTAVA]],V[POSTAVA],V[REPLIKY],0))</f>
        <v xml:space="preserve"> / </v>
      </c>
      <c r="G40" s="9" t="str">
        <f>_xlfn.CONCAT(_xlfn.XLOOKUP(KOMPLET[[#This Row],[POSTAVA]],VI[POSTAVA],VI[VSTUPY],0)," / ",_xlfn.XLOOKUP(KOMPLET[[#This Row],[POSTAVA]],VI[POSTAVA],VI[REPLIKY],0))</f>
        <v xml:space="preserve"> / </v>
      </c>
      <c r="I4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0" s="1"/>
    </row>
    <row r="41" spans="1:11" ht="17" x14ac:dyDescent="0.2">
      <c r="A41" s="26"/>
      <c r="B41" s="9" t="str">
        <f>_xlfn.CONCAT(_xlfn.XLOOKUP(KOMPLET[[#This Row],[POSTAVA]],I[POSTAVA],I[VSTUPY],0)," / ",_xlfn.XLOOKUP(KOMPLET[[#This Row],[POSTAVA]],I[POSTAVA],I[REPLIKY],0))</f>
        <v xml:space="preserve"> / </v>
      </c>
      <c r="C41" s="9" t="str">
        <f>_xlfn.CONCAT(_xlfn.XLOOKUP(KOMPLET[[#This Row],[POSTAVA]],II[POSTAVA],II[VSTUPY],0)," / ",_xlfn.XLOOKUP(KOMPLET[[#This Row],[POSTAVA]],II[POSTAVA],II[REPLIKY],0))</f>
        <v xml:space="preserve"> / </v>
      </c>
      <c r="D41" s="9" t="str">
        <f>_xlfn.CONCAT(_xlfn.XLOOKUP(KOMPLET[[#This Row],[POSTAVA]],III[POSTAVA],III[VSTUPY],0)," / ",_xlfn.XLOOKUP(KOMPLET[[#This Row],[POSTAVA]],III[POSTAVA],III[REPLIKY],0))</f>
        <v xml:space="preserve"> / </v>
      </c>
      <c r="E41" s="9" t="str">
        <f>_xlfn.CONCAT(_xlfn.XLOOKUP(KOMPLET[[#This Row],[POSTAVA]],IV[POSTAVA],IV[VSTUPY],0)," / ",_xlfn.XLOOKUP(KOMPLET[[#This Row],[POSTAVA]],IV[POSTAVA],IV[REPLIKY],0))</f>
        <v xml:space="preserve"> / </v>
      </c>
      <c r="F41" s="9" t="str">
        <f>_xlfn.CONCAT(_xlfn.XLOOKUP(KOMPLET[[#This Row],[POSTAVA]],V[POSTAVA],V[VSTUPY],0)," / ",_xlfn.XLOOKUP(KOMPLET[[#This Row],[POSTAVA]],V[POSTAVA],V[REPLIKY],0))</f>
        <v xml:space="preserve"> / </v>
      </c>
      <c r="G41" s="9" t="str">
        <f>_xlfn.CONCAT(_xlfn.XLOOKUP(KOMPLET[[#This Row],[POSTAVA]],VI[POSTAVA],VI[VSTUPY],0)," / ",_xlfn.XLOOKUP(KOMPLET[[#This Row],[POSTAVA]],VI[POSTAVA],VI[REPLIKY],0))</f>
        <v xml:space="preserve"> / </v>
      </c>
      <c r="I4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1" s="1"/>
    </row>
    <row r="42" spans="1:11" ht="17" x14ac:dyDescent="0.2">
      <c r="A42" s="26"/>
      <c r="B42" s="9" t="str">
        <f>_xlfn.CONCAT(_xlfn.XLOOKUP(KOMPLET[[#This Row],[POSTAVA]],I[POSTAVA],I[VSTUPY],0)," / ",_xlfn.XLOOKUP(KOMPLET[[#This Row],[POSTAVA]],I[POSTAVA],I[REPLIKY],0))</f>
        <v xml:space="preserve"> / </v>
      </c>
      <c r="C42" s="9" t="str">
        <f>_xlfn.CONCAT(_xlfn.XLOOKUP(KOMPLET[[#This Row],[POSTAVA]],II[POSTAVA],II[VSTUPY],0)," / ",_xlfn.XLOOKUP(KOMPLET[[#This Row],[POSTAVA]],II[POSTAVA],II[REPLIKY],0))</f>
        <v xml:space="preserve"> / </v>
      </c>
      <c r="D42" s="9" t="str">
        <f>_xlfn.CONCAT(_xlfn.XLOOKUP(KOMPLET[[#This Row],[POSTAVA]],III[POSTAVA],III[VSTUPY],0)," / ",_xlfn.XLOOKUP(KOMPLET[[#This Row],[POSTAVA]],III[POSTAVA],III[REPLIKY],0))</f>
        <v xml:space="preserve"> / </v>
      </c>
      <c r="E42" s="9" t="str">
        <f>_xlfn.CONCAT(_xlfn.XLOOKUP(KOMPLET[[#This Row],[POSTAVA]],IV[POSTAVA],IV[VSTUPY],0)," / ",_xlfn.XLOOKUP(KOMPLET[[#This Row],[POSTAVA]],IV[POSTAVA],IV[REPLIKY],0))</f>
        <v xml:space="preserve"> / </v>
      </c>
      <c r="F42" s="9" t="str">
        <f>_xlfn.CONCAT(_xlfn.XLOOKUP(KOMPLET[[#This Row],[POSTAVA]],V[POSTAVA],V[VSTUPY],0)," / ",_xlfn.XLOOKUP(KOMPLET[[#This Row],[POSTAVA]],V[POSTAVA],V[REPLIKY],0))</f>
        <v xml:space="preserve"> / </v>
      </c>
      <c r="G42" s="9" t="str">
        <f>_xlfn.CONCAT(_xlfn.XLOOKUP(KOMPLET[[#This Row],[POSTAVA]],VI[POSTAVA],VI[VSTUPY],0)," / ",_xlfn.XLOOKUP(KOMPLET[[#This Row],[POSTAVA]],VI[POSTAVA],VI[REPLIKY],0))</f>
        <v xml:space="preserve"> / </v>
      </c>
      <c r="I4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2" s="1"/>
    </row>
    <row r="43" spans="1:11" ht="17" x14ac:dyDescent="0.2">
      <c r="A43" s="26"/>
      <c r="B43" s="9" t="str">
        <f>_xlfn.CONCAT(_xlfn.XLOOKUP(KOMPLET[[#This Row],[POSTAVA]],I[POSTAVA],I[VSTUPY],0)," / ",_xlfn.XLOOKUP(KOMPLET[[#This Row],[POSTAVA]],I[POSTAVA],I[REPLIKY],0))</f>
        <v xml:space="preserve"> / </v>
      </c>
      <c r="C43" s="9" t="str">
        <f>_xlfn.CONCAT(_xlfn.XLOOKUP(KOMPLET[[#This Row],[POSTAVA]],II[POSTAVA],II[VSTUPY],0)," / ",_xlfn.XLOOKUP(KOMPLET[[#This Row],[POSTAVA]],II[POSTAVA],II[REPLIKY],0))</f>
        <v xml:space="preserve"> / </v>
      </c>
      <c r="D43" s="9" t="str">
        <f>_xlfn.CONCAT(_xlfn.XLOOKUP(KOMPLET[[#This Row],[POSTAVA]],III[POSTAVA],III[VSTUPY],0)," / ",_xlfn.XLOOKUP(KOMPLET[[#This Row],[POSTAVA]],III[POSTAVA],III[REPLIKY],0))</f>
        <v xml:space="preserve"> / </v>
      </c>
      <c r="E43" s="9" t="str">
        <f>_xlfn.CONCAT(_xlfn.XLOOKUP(KOMPLET[[#This Row],[POSTAVA]],IV[POSTAVA],IV[VSTUPY],0)," / ",_xlfn.XLOOKUP(KOMPLET[[#This Row],[POSTAVA]],IV[POSTAVA],IV[REPLIKY],0))</f>
        <v xml:space="preserve"> / </v>
      </c>
      <c r="F43" s="9" t="str">
        <f>_xlfn.CONCAT(_xlfn.XLOOKUP(KOMPLET[[#This Row],[POSTAVA]],V[POSTAVA],V[VSTUPY],0)," / ",_xlfn.XLOOKUP(KOMPLET[[#This Row],[POSTAVA]],V[POSTAVA],V[REPLIKY],0))</f>
        <v xml:space="preserve"> / </v>
      </c>
      <c r="G43" s="9" t="str">
        <f>_xlfn.CONCAT(_xlfn.XLOOKUP(KOMPLET[[#This Row],[POSTAVA]],VI[POSTAVA],VI[VSTUPY],0)," / ",_xlfn.XLOOKUP(KOMPLET[[#This Row],[POSTAVA]],VI[POSTAVA],VI[REPLIKY],0))</f>
        <v xml:space="preserve"> / </v>
      </c>
      <c r="I4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3" s="1"/>
    </row>
    <row r="44" spans="1:11" ht="17" x14ac:dyDescent="0.2">
      <c r="A44" s="20"/>
      <c r="B44" s="9" t="str">
        <f>_xlfn.CONCAT(_xlfn.XLOOKUP(KOMPLET[[#This Row],[POSTAVA]],I[POSTAVA],I[VSTUPY],0)," / ",_xlfn.XLOOKUP(KOMPLET[[#This Row],[POSTAVA]],I[POSTAVA],I[REPLIKY],0))</f>
        <v xml:space="preserve"> / </v>
      </c>
      <c r="C44" s="9" t="str">
        <f>_xlfn.CONCAT(_xlfn.XLOOKUP(KOMPLET[[#This Row],[POSTAVA]],II[POSTAVA],II[VSTUPY],0)," / ",_xlfn.XLOOKUP(KOMPLET[[#This Row],[POSTAVA]],II[POSTAVA],II[REPLIKY],0))</f>
        <v xml:space="preserve"> / </v>
      </c>
      <c r="D44" s="9" t="str">
        <f>_xlfn.CONCAT(_xlfn.XLOOKUP(KOMPLET[[#This Row],[POSTAVA]],III[POSTAVA],III[VSTUPY],0)," / ",_xlfn.XLOOKUP(KOMPLET[[#This Row],[POSTAVA]],III[POSTAVA],III[REPLIKY],0))</f>
        <v xml:space="preserve"> / </v>
      </c>
      <c r="E44" s="9" t="str">
        <f>_xlfn.CONCAT(_xlfn.XLOOKUP(KOMPLET[[#This Row],[POSTAVA]],IV[POSTAVA],IV[VSTUPY],0)," / ",_xlfn.XLOOKUP(KOMPLET[[#This Row],[POSTAVA]],IV[POSTAVA],IV[REPLIKY],0))</f>
        <v xml:space="preserve"> / </v>
      </c>
      <c r="F44" s="9" t="str">
        <f>_xlfn.CONCAT(_xlfn.XLOOKUP(KOMPLET[[#This Row],[POSTAVA]],V[POSTAVA],V[VSTUPY],0)," / ",_xlfn.XLOOKUP(KOMPLET[[#This Row],[POSTAVA]],V[POSTAVA],V[REPLIKY],0))</f>
        <v xml:space="preserve"> / </v>
      </c>
      <c r="G44" s="9" t="str">
        <f>_xlfn.CONCAT(_xlfn.XLOOKUP(KOMPLET[[#This Row],[POSTAVA]],VI[POSTAVA],VI[VSTUPY],0)," / ",_xlfn.XLOOKUP(KOMPLET[[#This Row],[POSTAVA]],VI[POSTAVA],VI[REPLIKY],0))</f>
        <v xml:space="preserve"> / </v>
      </c>
      <c r="I4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4" s="1"/>
    </row>
    <row r="45" spans="1:11" ht="17" x14ac:dyDescent="0.2">
      <c r="A45" s="20"/>
      <c r="B45" s="9" t="str">
        <f>_xlfn.CONCAT(_xlfn.XLOOKUP(KOMPLET[[#This Row],[POSTAVA]],I[POSTAVA],I[VSTUPY],0)," / ",_xlfn.XLOOKUP(KOMPLET[[#This Row],[POSTAVA]],I[POSTAVA],I[REPLIKY],0))</f>
        <v xml:space="preserve"> / </v>
      </c>
      <c r="C45" s="9" t="str">
        <f>_xlfn.CONCAT(_xlfn.XLOOKUP(KOMPLET[[#This Row],[POSTAVA]],II[POSTAVA],II[VSTUPY],0)," / ",_xlfn.XLOOKUP(KOMPLET[[#This Row],[POSTAVA]],II[POSTAVA],II[REPLIKY],0))</f>
        <v xml:space="preserve"> / </v>
      </c>
      <c r="D45" s="9" t="str">
        <f>_xlfn.CONCAT(_xlfn.XLOOKUP(KOMPLET[[#This Row],[POSTAVA]],III[POSTAVA],III[VSTUPY],0)," / ",_xlfn.XLOOKUP(KOMPLET[[#This Row],[POSTAVA]],III[POSTAVA],III[REPLIKY],0))</f>
        <v xml:space="preserve"> / </v>
      </c>
      <c r="E45" s="9" t="str">
        <f>_xlfn.CONCAT(_xlfn.XLOOKUP(KOMPLET[[#This Row],[POSTAVA]],IV[POSTAVA],IV[VSTUPY],0)," / ",_xlfn.XLOOKUP(KOMPLET[[#This Row],[POSTAVA]],IV[POSTAVA],IV[REPLIKY],0))</f>
        <v xml:space="preserve"> / </v>
      </c>
      <c r="F45" s="9" t="str">
        <f>_xlfn.CONCAT(_xlfn.XLOOKUP(KOMPLET[[#This Row],[POSTAVA]],V[POSTAVA],V[VSTUPY],0)," / ",_xlfn.XLOOKUP(KOMPLET[[#This Row],[POSTAVA]],V[POSTAVA],V[REPLIKY],0))</f>
        <v xml:space="preserve"> / </v>
      </c>
      <c r="G45" s="9" t="str">
        <f>_xlfn.CONCAT(_xlfn.XLOOKUP(KOMPLET[[#This Row],[POSTAVA]],VI[POSTAVA],VI[VSTUPY],0)," / ",_xlfn.XLOOKUP(KOMPLET[[#This Row],[POSTAVA]],VI[POSTAVA],VI[REPLIKY],0))</f>
        <v xml:space="preserve"> / </v>
      </c>
      <c r="I4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5" s="1"/>
    </row>
    <row r="46" spans="1:11" ht="17" x14ac:dyDescent="0.2">
      <c r="A46" s="20"/>
      <c r="B46" s="9" t="str">
        <f>_xlfn.CONCAT(_xlfn.XLOOKUP(KOMPLET[[#This Row],[POSTAVA]],I[POSTAVA],I[VSTUPY],0)," / ",_xlfn.XLOOKUP(KOMPLET[[#This Row],[POSTAVA]],I[POSTAVA],I[REPLIKY],0))</f>
        <v xml:space="preserve"> / </v>
      </c>
      <c r="C46" s="9" t="str">
        <f>_xlfn.CONCAT(_xlfn.XLOOKUP(KOMPLET[[#This Row],[POSTAVA]],II[POSTAVA],II[VSTUPY],0)," / ",_xlfn.XLOOKUP(KOMPLET[[#This Row],[POSTAVA]],II[POSTAVA],II[REPLIKY],0))</f>
        <v xml:space="preserve"> / </v>
      </c>
      <c r="D46" s="9" t="str">
        <f>_xlfn.CONCAT(_xlfn.XLOOKUP(KOMPLET[[#This Row],[POSTAVA]],III[POSTAVA],III[VSTUPY],0)," / ",_xlfn.XLOOKUP(KOMPLET[[#This Row],[POSTAVA]],III[POSTAVA],III[REPLIKY],0))</f>
        <v xml:space="preserve"> / </v>
      </c>
      <c r="E46" s="9" t="str">
        <f>_xlfn.CONCAT(_xlfn.XLOOKUP(KOMPLET[[#This Row],[POSTAVA]],IV[POSTAVA],IV[VSTUPY],0)," / ",_xlfn.XLOOKUP(KOMPLET[[#This Row],[POSTAVA]],IV[POSTAVA],IV[REPLIKY],0))</f>
        <v xml:space="preserve"> / </v>
      </c>
      <c r="F46" s="9" t="str">
        <f>_xlfn.CONCAT(_xlfn.XLOOKUP(KOMPLET[[#This Row],[POSTAVA]],V[POSTAVA],V[VSTUPY],0)," / ",_xlfn.XLOOKUP(KOMPLET[[#This Row],[POSTAVA]],V[POSTAVA],V[REPLIKY],0))</f>
        <v xml:space="preserve"> / </v>
      </c>
      <c r="G46" s="9" t="str">
        <f>_xlfn.CONCAT(_xlfn.XLOOKUP(KOMPLET[[#This Row],[POSTAVA]],VI[POSTAVA],VI[VSTUPY],0)," / ",_xlfn.XLOOKUP(KOMPLET[[#This Row],[POSTAVA]],VI[POSTAVA],VI[REPLIKY],0))</f>
        <v xml:space="preserve"> / </v>
      </c>
      <c r="I4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6" s="1"/>
    </row>
    <row r="47" spans="1:11" ht="17" x14ac:dyDescent="0.2">
      <c r="A47" s="20"/>
      <c r="B47" s="9" t="str">
        <f>_xlfn.CONCAT(_xlfn.XLOOKUP(KOMPLET[[#This Row],[POSTAVA]],I[POSTAVA],I[VSTUPY],0)," / ",_xlfn.XLOOKUP(KOMPLET[[#This Row],[POSTAVA]],I[POSTAVA],I[REPLIKY],0))</f>
        <v xml:space="preserve"> / </v>
      </c>
      <c r="C47" s="9" t="str">
        <f>_xlfn.CONCAT(_xlfn.XLOOKUP(KOMPLET[[#This Row],[POSTAVA]],II[POSTAVA],II[VSTUPY],0)," / ",_xlfn.XLOOKUP(KOMPLET[[#This Row],[POSTAVA]],II[POSTAVA],II[REPLIKY],0))</f>
        <v xml:space="preserve"> / </v>
      </c>
      <c r="D47" s="9" t="str">
        <f>_xlfn.CONCAT(_xlfn.XLOOKUP(KOMPLET[[#This Row],[POSTAVA]],III[POSTAVA],III[VSTUPY],0)," / ",_xlfn.XLOOKUP(KOMPLET[[#This Row],[POSTAVA]],III[POSTAVA],III[REPLIKY],0))</f>
        <v xml:space="preserve"> / </v>
      </c>
      <c r="E47" s="9" t="str">
        <f>_xlfn.CONCAT(_xlfn.XLOOKUP(KOMPLET[[#This Row],[POSTAVA]],IV[POSTAVA],IV[VSTUPY],0)," / ",_xlfn.XLOOKUP(KOMPLET[[#This Row],[POSTAVA]],IV[POSTAVA],IV[REPLIKY],0))</f>
        <v xml:space="preserve"> / </v>
      </c>
      <c r="F47" s="9" t="str">
        <f>_xlfn.CONCAT(_xlfn.XLOOKUP(KOMPLET[[#This Row],[POSTAVA]],V[POSTAVA],V[VSTUPY],0)," / ",_xlfn.XLOOKUP(KOMPLET[[#This Row],[POSTAVA]],V[POSTAVA],V[REPLIKY],0))</f>
        <v xml:space="preserve"> / </v>
      </c>
      <c r="G47" s="9" t="str">
        <f>_xlfn.CONCAT(_xlfn.XLOOKUP(KOMPLET[[#This Row],[POSTAVA]],VI[POSTAVA],VI[VSTUPY],0)," / ",_xlfn.XLOOKUP(KOMPLET[[#This Row],[POSTAVA]],VI[POSTAVA],VI[REPLIKY],0))</f>
        <v xml:space="preserve"> / </v>
      </c>
      <c r="I4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7" s="1"/>
    </row>
    <row r="48" spans="1:11" ht="17" x14ac:dyDescent="0.2">
      <c r="A48" s="20"/>
      <c r="B48" s="9" t="str">
        <f>_xlfn.CONCAT(_xlfn.XLOOKUP(KOMPLET[[#This Row],[POSTAVA]],I[POSTAVA],I[VSTUPY],0)," / ",_xlfn.XLOOKUP(KOMPLET[[#This Row],[POSTAVA]],I[POSTAVA],I[REPLIKY],0))</f>
        <v xml:space="preserve"> / </v>
      </c>
      <c r="C48" s="9" t="str">
        <f>_xlfn.CONCAT(_xlfn.XLOOKUP(KOMPLET[[#This Row],[POSTAVA]],II[POSTAVA],II[VSTUPY],0)," / ",_xlfn.XLOOKUP(KOMPLET[[#This Row],[POSTAVA]],II[POSTAVA],II[REPLIKY],0))</f>
        <v xml:space="preserve"> / </v>
      </c>
      <c r="D48" s="9" t="str">
        <f>_xlfn.CONCAT(_xlfn.XLOOKUP(KOMPLET[[#This Row],[POSTAVA]],III[POSTAVA],III[VSTUPY],0)," / ",_xlfn.XLOOKUP(KOMPLET[[#This Row],[POSTAVA]],III[POSTAVA],III[REPLIKY],0))</f>
        <v xml:space="preserve"> / </v>
      </c>
      <c r="E48" s="9" t="str">
        <f>_xlfn.CONCAT(_xlfn.XLOOKUP(KOMPLET[[#This Row],[POSTAVA]],IV[POSTAVA],IV[VSTUPY],0)," / ",_xlfn.XLOOKUP(KOMPLET[[#This Row],[POSTAVA]],IV[POSTAVA],IV[REPLIKY],0))</f>
        <v xml:space="preserve"> / </v>
      </c>
      <c r="F48" s="9" t="str">
        <f>_xlfn.CONCAT(_xlfn.XLOOKUP(KOMPLET[[#This Row],[POSTAVA]],V[POSTAVA],V[VSTUPY],0)," / ",_xlfn.XLOOKUP(KOMPLET[[#This Row],[POSTAVA]],V[POSTAVA],V[REPLIKY],0))</f>
        <v xml:space="preserve"> / </v>
      </c>
      <c r="G48" s="9" t="str">
        <f>_xlfn.CONCAT(_xlfn.XLOOKUP(KOMPLET[[#This Row],[POSTAVA]],VI[POSTAVA],VI[VSTUPY],0)," / ",_xlfn.XLOOKUP(KOMPLET[[#This Row],[POSTAVA]],VI[POSTAVA],VI[REPLIKY],0))</f>
        <v xml:space="preserve"> / </v>
      </c>
      <c r="H48" s="20"/>
      <c r="I4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8" s="1"/>
    </row>
    <row r="49" spans="1:11" ht="17" x14ac:dyDescent="0.2">
      <c r="A49" s="20"/>
      <c r="B49" s="9" t="str">
        <f>_xlfn.CONCAT(_xlfn.XLOOKUP(KOMPLET[[#This Row],[POSTAVA]],I[POSTAVA],I[VSTUPY],0)," / ",_xlfn.XLOOKUP(KOMPLET[[#This Row],[POSTAVA]],I[POSTAVA],I[REPLIKY],0))</f>
        <v xml:space="preserve"> / </v>
      </c>
      <c r="C49" s="9" t="str">
        <f>_xlfn.CONCAT(_xlfn.XLOOKUP(KOMPLET[[#This Row],[POSTAVA]],II[POSTAVA],II[VSTUPY],0)," / ",_xlfn.XLOOKUP(KOMPLET[[#This Row],[POSTAVA]],II[POSTAVA],II[REPLIKY],0))</f>
        <v xml:space="preserve"> / </v>
      </c>
      <c r="D49" s="9" t="str">
        <f>_xlfn.CONCAT(_xlfn.XLOOKUP(KOMPLET[[#This Row],[POSTAVA]],III[POSTAVA],III[VSTUPY],0)," / ",_xlfn.XLOOKUP(KOMPLET[[#This Row],[POSTAVA]],III[POSTAVA],III[REPLIKY],0))</f>
        <v xml:space="preserve"> / </v>
      </c>
      <c r="E49" s="9" t="str">
        <f>_xlfn.CONCAT(_xlfn.XLOOKUP(KOMPLET[[#This Row],[POSTAVA]],IV[POSTAVA],IV[VSTUPY],0)," / ",_xlfn.XLOOKUP(KOMPLET[[#This Row],[POSTAVA]],IV[POSTAVA],IV[REPLIKY],0))</f>
        <v xml:space="preserve"> / </v>
      </c>
      <c r="F49" s="9" t="str">
        <f>_xlfn.CONCAT(_xlfn.XLOOKUP(KOMPLET[[#This Row],[POSTAVA]],V[POSTAVA],V[VSTUPY],0)," / ",_xlfn.XLOOKUP(KOMPLET[[#This Row],[POSTAVA]],V[POSTAVA],V[REPLIKY],0))</f>
        <v xml:space="preserve"> / </v>
      </c>
      <c r="G49" s="9" t="str">
        <f>_xlfn.CONCAT(_xlfn.XLOOKUP(KOMPLET[[#This Row],[POSTAVA]],VI[POSTAVA],VI[VSTUPY],0)," / ",_xlfn.XLOOKUP(KOMPLET[[#This Row],[POSTAVA]],VI[POSTAVA],VI[REPLIKY],0))</f>
        <v xml:space="preserve"> / </v>
      </c>
      <c r="H49" s="20"/>
      <c r="I4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4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49" s="1"/>
    </row>
    <row r="50" spans="1:11" ht="17" x14ac:dyDescent="0.2">
      <c r="A50" s="20"/>
      <c r="B50" s="9" t="str">
        <f>_xlfn.CONCAT(_xlfn.XLOOKUP(KOMPLET[[#This Row],[POSTAVA]],I[POSTAVA],I[VSTUPY],0)," / ",_xlfn.XLOOKUP(KOMPLET[[#This Row],[POSTAVA]],I[POSTAVA],I[REPLIKY],0))</f>
        <v xml:space="preserve"> / </v>
      </c>
      <c r="C50" s="9" t="str">
        <f>_xlfn.CONCAT(_xlfn.XLOOKUP(KOMPLET[[#This Row],[POSTAVA]],II[POSTAVA],II[VSTUPY],0)," / ",_xlfn.XLOOKUP(KOMPLET[[#This Row],[POSTAVA]],II[POSTAVA],II[REPLIKY],0))</f>
        <v xml:space="preserve"> / </v>
      </c>
      <c r="D50" s="9" t="str">
        <f>_xlfn.CONCAT(_xlfn.XLOOKUP(KOMPLET[[#This Row],[POSTAVA]],III[POSTAVA],III[VSTUPY],0)," / ",_xlfn.XLOOKUP(KOMPLET[[#This Row],[POSTAVA]],III[POSTAVA],III[REPLIKY],0))</f>
        <v xml:space="preserve"> / </v>
      </c>
      <c r="E50" s="9" t="str">
        <f>_xlfn.CONCAT(_xlfn.XLOOKUP(KOMPLET[[#This Row],[POSTAVA]],IV[POSTAVA],IV[VSTUPY],0)," / ",_xlfn.XLOOKUP(KOMPLET[[#This Row],[POSTAVA]],IV[POSTAVA],IV[REPLIKY],0))</f>
        <v xml:space="preserve"> / </v>
      </c>
      <c r="F50" s="9" t="str">
        <f>_xlfn.CONCAT(_xlfn.XLOOKUP(KOMPLET[[#This Row],[POSTAVA]],V[POSTAVA],V[VSTUPY],0)," / ",_xlfn.XLOOKUP(KOMPLET[[#This Row],[POSTAVA]],V[POSTAVA],V[REPLIKY],0))</f>
        <v xml:space="preserve"> / </v>
      </c>
      <c r="G50" s="9" t="str">
        <f>_xlfn.CONCAT(_xlfn.XLOOKUP(KOMPLET[[#This Row],[POSTAVA]],VI[POSTAVA],VI[VSTUPY],0)," / ",_xlfn.XLOOKUP(KOMPLET[[#This Row],[POSTAVA]],VI[POSTAVA],VI[REPLIKY],0))</f>
        <v xml:space="preserve"> / </v>
      </c>
      <c r="I5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0" s="1"/>
    </row>
    <row r="51" spans="1:11" ht="17" x14ac:dyDescent="0.2">
      <c r="A51" s="20"/>
      <c r="B51" s="9" t="str">
        <f>_xlfn.CONCAT(_xlfn.XLOOKUP(KOMPLET[[#This Row],[POSTAVA]],I[POSTAVA],I[VSTUPY],0)," / ",_xlfn.XLOOKUP(KOMPLET[[#This Row],[POSTAVA]],I[POSTAVA],I[REPLIKY],0))</f>
        <v xml:space="preserve"> / </v>
      </c>
      <c r="C51" s="9" t="str">
        <f>_xlfn.CONCAT(_xlfn.XLOOKUP(KOMPLET[[#This Row],[POSTAVA]],II[POSTAVA],II[VSTUPY],0)," / ",_xlfn.XLOOKUP(KOMPLET[[#This Row],[POSTAVA]],II[POSTAVA],II[REPLIKY],0))</f>
        <v xml:space="preserve"> / </v>
      </c>
      <c r="D51" s="9" t="str">
        <f>_xlfn.CONCAT(_xlfn.XLOOKUP(KOMPLET[[#This Row],[POSTAVA]],III[POSTAVA],III[VSTUPY],0)," / ",_xlfn.XLOOKUP(KOMPLET[[#This Row],[POSTAVA]],III[POSTAVA],III[REPLIKY],0))</f>
        <v xml:space="preserve"> / </v>
      </c>
      <c r="E51" s="9" t="str">
        <f>_xlfn.CONCAT(_xlfn.XLOOKUP(KOMPLET[[#This Row],[POSTAVA]],IV[POSTAVA],IV[VSTUPY],0)," / ",_xlfn.XLOOKUP(KOMPLET[[#This Row],[POSTAVA]],IV[POSTAVA],IV[REPLIKY],0))</f>
        <v xml:space="preserve"> / </v>
      </c>
      <c r="F51" s="9" t="str">
        <f>_xlfn.CONCAT(_xlfn.XLOOKUP(KOMPLET[[#This Row],[POSTAVA]],V[POSTAVA],V[VSTUPY],0)," / ",_xlfn.XLOOKUP(KOMPLET[[#This Row],[POSTAVA]],V[POSTAVA],V[REPLIKY],0))</f>
        <v xml:space="preserve"> / </v>
      </c>
      <c r="G51" s="9" t="str">
        <f>_xlfn.CONCAT(_xlfn.XLOOKUP(KOMPLET[[#This Row],[POSTAVA]],VI[POSTAVA],VI[VSTUPY],0)," / ",_xlfn.XLOOKUP(KOMPLET[[#This Row],[POSTAVA]],VI[POSTAVA],VI[REPLIKY],0))</f>
        <v xml:space="preserve"> / </v>
      </c>
      <c r="I5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1" s="1"/>
    </row>
    <row r="52" spans="1:11" ht="17" x14ac:dyDescent="0.2">
      <c r="A52" s="20"/>
      <c r="B52" s="9" t="str">
        <f>_xlfn.CONCAT(_xlfn.XLOOKUP(KOMPLET[[#This Row],[POSTAVA]],I[POSTAVA],I[VSTUPY],0)," / ",_xlfn.XLOOKUP(KOMPLET[[#This Row],[POSTAVA]],I[POSTAVA],I[REPLIKY],0))</f>
        <v xml:space="preserve"> / </v>
      </c>
      <c r="C52" s="9" t="str">
        <f>_xlfn.CONCAT(_xlfn.XLOOKUP(KOMPLET[[#This Row],[POSTAVA]],II[POSTAVA],II[VSTUPY],0)," / ",_xlfn.XLOOKUP(KOMPLET[[#This Row],[POSTAVA]],II[POSTAVA],II[REPLIKY],0))</f>
        <v xml:space="preserve"> / </v>
      </c>
      <c r="D52" s="9" t="str">
        <f>_xlfn.CONCAT(_xlfn.XLOOKUP(KOMPLET[[#This Row],[POSTAVA]],III[POSTAVA],III[VSTUPY],0)," / ",_xlfn.XLOOKUP(KOMPLET[[#This Row],[POSTAVA]],III[POSTAVA],III[REPLIKY],0))</f>
        <v xml:space="preserve"> / </v>
      </c>
      <c r="E52" s="9" t="str">
        <f>_xlfn.CONCAT(_xlfn.XLOOKUP(KOMPLET[[#This Row],[POSTAVA]],IV[POSTAVA],IV[VSTUPY],0)," / ",_xlfn.XLOOKUP(KOMPLET[[#This Row],[POSTAVA]],IV[POSTAVA],IV[REPLIKY],0))</f>
        <v xml:space="preserve"> / </v>
      </c>
      <c r="F52" s="9" t="str">
        <f>_xlfn.CONCAT(_xlfn.XLOOKUP(KOMPLET[[#This Row],[POSTAVA]],V[POSTAVA],V[VSTUPY],0)," / ",_xlfn.XLOOKUP(KOMPLET[[#This Row],[POSTAVA]],V[POSTAVA],V[REPLIKY],0))</f>
        <v xml:space="preserve"> / </v>
      </c>
      <c r="G52" s="9" t="str">
        <f>_xlfn.CONCAT(_xlfn.XLOOKUP(KOMPLET[[#This Row],[POSTAVA]],VI[POSTAVA],VI[VSTUPY],0)," / ",_xlfn.XLOOKUP(KOMPLET[[#This Row],[POSTAVA]],VI[POSTAVA],VI[REPLIKY],0))</f>
        <v xml:space="preserve"> / </v>
      </c>
      <c r="I5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2" s="1"/>
    </row>
    <row r="53" spans="1:11" ht="17" x14ac:dyDescent="0.2">
      <c r="A53" s="20"/>
      <c r="B53" s="9" t="str">
        <f>_xlfn.CONCAT(_xlfn.XLOOKUP(KOMPLET[[#This Row],[POSTAVA]],I[POSTAVA],I[VSTUPY],0)," / ",_xlfn.XLOOKUP(KOMPLET[[#This Row],[POSTAVA]],I[POSTAVA],I[REPLIKY],0))</f>
        <v xml:space="preserve"> / </v>
      </c>
      <c r="C53" s="9" t="str">
        <f>_xlfn.CONCAT(_xlfn.XLOOKUP(KOMPLET[[#This Row],[POSTAVA]],II[POSTAVA],II[VSTUPY],0)," / ",_xlfn.XLOOKUP(KOMPLET[[#This Row],[POSTAVA]],II[POSTAVA],II[REPLIKY],0))</f>
        <v xml:space="preserve"> / </v>
      </c>
      <c r="D53" s="9" t="str">
        <f>_xlfn.CONCAT(_xlfn.XLOOKUP(KOMPLET[[#This Row],[POSTAVA]],III[POSTAVA],III[VSTUPY],0)," / ",_xlfn.XLOOKUP(KOMPLET[[#This Row],[POSTAVA]],III[POSTAVA],III[REPLIKY],0))</f>
        <v xml:space="preserve"> / </v>
      </c>
      <c r="E53" s="9" t="str">
        <f>_xlfn.CONCAT(_xlfn.XLOOKUP(KOMPLET[[#This Row],[POSTAVA]],IV[POSTAVA],IV[VSTUPY],0)," / ",_xlfn.XLOOKUP(KOMPLET[[#This Row],[POSTAVA]],IV[POSTAVA],IV[REPLIKY],0))</f>
        <v xml:space="preserve"> / </v>
      </c>
      <c r="F53" s="9" t="str">
        <f>_xlfn.CONCAT(_xlfn.XLOOKUP(KOMPLET[[#This Row],[POSTAVA]],V[POSTAVA],V[VSTUPY],0)," / ",_xlfn.XLOOKUP(KOMPLET[[#This Row],[POSTAVA]],V[POSTAVA],V[REPLIKY],0))</f>
        <v xml:space="preserve"> / </v>
      </c>
      <c r="G53" s="9" t="str">
        <f>_xlfn.CONCAT(_xlfn.XLOOKUP(KOMPLET[[#This Row],[POSTAVA]],VI[POSTAVA],VI[VSTUPY],0)," / ",_xlfn.XLOOKUP(KOMPLET[[#This Row],[POSTAVA]],VI[POSTAVA],VI[REPLIKY],0))</f>
        <v xml:space="preserve"> / </v>
      </c>
      <c r="I5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3" s="1"/>
    </row>
    <row r="54" spans="1:11" ht="17" x14ac:dyDescent="0.2">
      <c r="A54" s="20"/>
      <c r="B54" s="9" t="str">
        <f>_xlfn.CONCAT(_xlfn.XLOOKUP(KOMPLET[[#This Row],[POSTAVA]],I[POSTAVA],I[VSTUPY],0)," / ",_xlfn.XLOOKUP(KOMPLET[[#This Row],[POSTAVA]],I[POSTAVA],I[REPLIKY],0))</f>
        <v xml:space="preserve"> / </v>
      </c>
      <c r="C54" s="9" t="str">
        <f>_xlfn.CONCAT(_xlfn.XLOOKUP(KOMPLET[[#This Row],[POSTAVA]],II[POSTAVA],II[VSTUPY],0)," / ",_xlfn.XLOOKUP(KOMPLET[[#This Row],[POSTAVA]],II[POSTAVA],II[REPLIKY],0))</f>
        <v xml:space="preserve"> / </v>
      </c>
      <c r="D54" s="9" t="str">
        <f>_xlfn.CONCAT(_xlfn.XLOOKUP(KOMPLET[[#This Row],[POSTAVA]],III[POSTAVA],III[VSTUPY],0)," / ",_xlfn.XLOOKUP(KOMPLET[[#This Row],[POSTAVA]],III[POSTAVA],III[REPLIKY],0))</f>
        <v xml:space="preserve"> / </v>
      </c>
      <c r="E54" s="9" t="str">
        <f>_xlfn.CONCAT(_xlfn.XLOOKUP(KOMPLET[[#This Row],[POSTAVA]],IV[POSTAVA],IV[VSTUPY],0)," / ",_xlfn.XLOOKUP(KOMPLET[[#This Row],[POSTAVA]],IV[POSTAVA],IV[REPLIKY],0))</f>
        <v xml:space="preserve"> / </v>
      </c>
      <c r="F54" s="9" t="str">
        <f>_xlfn.CONCAT(_xlfn.XLOOKUP(KOMPLET[[#This Row],[POSTAVA]],V[POSTAVA],V[VSTUPY],0)," / ",_xlfn.XLOOKUP(KOMPLET[[#This Row],[POSTAVA]],V[POSTAVA],V[REPLIKY],0))</f>
        <v xml:space="preserve"> / </v>
      </c>
      <c r="G54" s="9" t="str">
        <f>_xlfn.CONCAT(_xlfn.XLOOKUP(KOMPLET[[#This Row],[POSTAVA]],VI[POSTAVA],VI[VSTUPY],0)," / ",_xlfn.XLOOKUP(KOMPLET[[#This Row],[POSTAVA]],VI[POSTAVA],VI[REPLIKY],0))</f>
        <v xml:space="preserve"> / </v>
      </c>
      <c r="I5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4" s="1"/>
    </row>
    <row r="55" spans="1:11" ht="17" x14ac:dyDescent="0.2">
      <c r="A55" s="20"/>
      <c r="B55" s="9" t="str">
        <f>_xlfn.CONCAT(_xlfn.XLOOKUP(KOMPLET[[#This Row],[POSTAVA]],I[POSTAVA],I[VSTUPY],0)," / ",_xlfn.XLOOKUP(KOMPLET[[#This Row],[POSTAVA]],I[POSTAVA],I[REPLIKY],0))</f>
        <v xml:space="preserve"> / </v>
      </c>
      <c r="C55" s="9" t="str">
        <f>_xlfn.CONCAT(_xlfn.XLOOKUP(KOMPLET[[#This Row],[POSTAVA]],II[POSTAVA],II[VSTUPY],0)," / ",_xlfn.XLOOKUP(KOMPLET[[#This Row],[POSTAVA]],II[POSTAVA],II[REPLIKY],0))</f>
        <v xml:space="preserve"> / </v>
      </c>
      <c r="D55" s="9" t="str">
        <f>_xlfn.CONCAT(_xlfn.XLOOKUP(KOMPLET[[#This Row],[POSTAVA]],III[POSTAVA],III[VSTUPY],0)," / ",_xlfn.XLOOKUP(KOMPLET[[#This Row],[POSTAVA]],III[POSTAVA],III[REPLIKY],0))</f>
        <v xml:space="preserve"> / </v>
      </c>
      <c r="E55" s="9" t="str">
        <f>_xlfn.CONCAT(_xlfn.XLOOKUP(KOMPLET[[#This Row],[POSTAVA]],IV[POSTAVA],IV[VSTUPY],0)," / ",_xlfn.XLOOKUP(KOMPLET[[#This Row],[POSTAVA]],IV[POSTAVA],IV[REPLIKY],0))</f>
        <v xml:space="preserve"> / </v>
      </c>
      <c r="F55" s="9" t="str">
        <f>_xlfn.CONCAT(_xlfn.XLOOKUP(KOMPLET[[#This Row],[POSTAVA]],V[POSTAVA],V[VSTUPY],0)," / ",_xlfn.XLOOKUP(KOMPLET[[#This Row],[POSTAVA]],V[POSTAVA],V[REPLIKY],0))</f>
        <v xml:space="preserve"> / </v>
      </c>
      <c r="G55" s="9" t="str">
        <f>_xlfn.CONCAT(_xlfn.XLOOKUP(KOMPLET[[#This Row],[POSTAVA]],VI[POSTAVA],VI[VSTUPY],0)," / ",_xlfn.XLOOKUP(KOMPLET[[#This Row],[POSTAVA]],VI[POSTAVA],VI[REPLIKY],0))</f>
        <v xml:space="preserve"> / </v>
      </c>
      <c r="I5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5" s="1"/>
    </row>
    <row r="56" spans="1:11" ht="17" x14ac:dyDescent="0.2">
      <c r="A56" s="20"/>
      <c r="B56" s="9" t="str">
        <f>_xlfn.CONCAT(_xlfn.XLOOKUP(KOMPLET[[#This Row],[POSTAVA]],I[POSTAVA],I[VSTUPY],0)," / ",_xlfn.XLOOKUP(KOMPLET[[#This Row],[POSTAVA]],I[POSTAVA],I[REPLIKY],0))</f>
        <v xml:space="preserve"> / </v>
      </c>
      <c r="C56" s="9" t="str">
        <f>_xlfn.CONCAT(_xlfn.XLOOKUP(KOMPLET[[#This Row],[POSTAVA]],II[POSTAVA],II[VSTUPY],0)," / ",_xlfn.XLOOKUP(KOMPLET[[#This Row],[POSTAVA]],II[POSTAVA],II[REPLIKY],0))</f>
        <v xml:space="preserve"> / </v>
      </c>
      <c r="D56" s="9" t="str">
        <f>_xlfn.CONCAT(_xlfn.XLOOKUP(KOMPLET[[#This Row],[POSTAVA]],III[POSTAVA],III[VSTUPY],0)," / ",_xlfn.XLOOKUP(KOMPLET[[#This Row],[POSTAVA]],III[POSTAVA],III[REPLIKY],0))</f>
        <v xml:space="preserve"> / </v>
      </c>
      <c r="E56" s="9" t="str">
        <f>_xlfn.CONCAT(_xlfn.XLOOKUP(KOMPLET[[#This Row],[POSTAVA]],IV[POSTAVA],IV[VSTUPY],0)," / ",_xlfn.XLOOKUP(KOMPLET[[#This Row],[POSTAVA]],IV[POSTAVA],IV[REPLIKY],0))</f>
        <v xml:space="preserve"> / </v>
      </c>
      <c r="F56" s="9" t="str">
        <f>_xlfn.CONCAT(_xlfn.XLOOKUP(KOMPLET[[#This Row],[POSTAVA]],V[POSTAVA],V[VSTUPY],0)," / ",_xlfn.XLOOKUP(KOMPLET[[#This Row],[POSTAVA]],V[POSTAVA],V[REPLIKY],0))</f>
        <v xml:space="preserve"> / </v>
      </c>
      <c r="G56" s="9" t="str">
        <f>_xlfn.CONCAT(_xlfn.XLOOKUP(KOMPLET[[#This Row],[POSTAVA]],VI[POSTAVA],VI[VSTUPY],0)," / ",_xlfn.XLOOKUP(KOMPLET[[#This Row],[POSTAVA]],VI[POSTAVA],VI[REPLIKY],0))</f>
        <v xml:space="preserve"> / </v>
      </c>
      <c r="I5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6" s="1"/>
    </row>
    <row r="57" spans="1:11" ht="17" x14ac:dyDescent="0.2">
      <c r="A57" s="20"/>
      <c r="B57" s="9" t="str">
        <f>_xlfn.CONCAT(_xlfn.XLOOKUP(KOMPLET[[#This Row],[POSTAVA]],I[POSTAVA],I[VSTUPY],0)," / ",_xlfn.XLOOKUP(KOMPLET[[#This Row],[POSTAVA]],I[POSTAVA],I[REPLIKY],0))</f>
        <v xml:space="preserve"> / </v>
      </c>
      <c r="C57" s="9" t="str">
        <f>_xlfn.CONCAT(_xlfn.XLOOKUP(KOMPLET[[#This Row],[POSTAVA]],II[POSTAVA],II[VSTUPY],0)," / ",_xlfn.XLOOKUP(KOMPLET[[#This Row],[POSTAVA]],II[POSTAVA],II[REPLIKY],0))</f>
        <v xml:space="preserve"> / </v>
      </c>
      <c r="D57" s="9" t="str">
        <f>_xlfn.CONCAT(_xlfn.XLOOKUP(KOMPLET[[#This Row],[POSTAVA]],III[POSTAVA],III[VSTUPY],0)," / ",_xlfn.XLOOKUP(KOMPLET[[#This Row],[POSTAVA]],III[POSTAVA],III[REPLIKY],0))</f>
        <v xml:space="preserve"> / </v>
      </c>
      <c r="E57" s="9" t="str">
        <f>_xlfn.CONCAT(_xlfn.XLOOKUP(KOMPLET[[#This Row],[POSTAVA]],IV[POSTAVA],IV[VSTUPY],0)," / ",_xlfn.XLOOKUP(KOMPLET[[#This Row],[POSTAVA]],IV[POSTAVA],IV[REPLIKY],0))</f>
        <v xml:space="preserve"> / </v>
      </c>
      <c r="F57" s="9" t="str">
        <f>_xlfn.CONCAT(_xlfn.XLOOKUP(KOMPLET[[#This Row],[POSTAVA]],V[POSTAVA],V[VSTUPY],0)," / ",_xlfn.XLOOKUP(KOMPLET[[#This Row],[POSTAVA]],V[POSTAVA],V[REPLIKY],0))</f>
        <v xml:space="preserve"> / </v>
      </c>
      <c r="G57" s="9" t="str">
        <f>_xlfn.CONCAT(_xlfn.XLOOKUP(KOMPLET[[#This Row],[POSTAVA]],VI[POSTAVA],VI[VSTUPY],0)," / ",_xlfn.XLOOKUP(KOMPLET[[#This Row],[POSTAVA]],VI[POSTAVA],VI[REPLIKY],0))</f>
        <v xml:space="preserve"> / </v>
      </c>
      <c r="I5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7" s="1"/>
    </row>
    <row r="58" spans="1:11" ht="17" x14ac:dyDescent="0.2">
      <c r="A58" s="20"/>
      <c r="B58" s="9" t="str">
        <f>_xlfn.CONCAT(_xlfn.XLOOKUP(KOMPLET[[#This Row],[POSTAVA]],I[POSTAVA],I[VSTUPY],0)," / ",_xlfn.XLOOKUP(KOMPLET[[#This Row],[POSTAVA]],I[POSTAVA],I[REPLIKY],0))</f>
        <v xml:space="preserve"> / </v>
      </c>
      <c r="C58" s="9" t="str">
        <f>_xlfn.CONCAT(_xlfn.XLOOKUP(KOMPLET[[#This Row],[POSTAVA]],II[POSTAVA],II[VSTUPY],0)," / ",_xlfn.XLOOKUP(KOMPLET[[#This Row],[POSTAVA]],II[POSTAVA],II[REPLIKY],0))</f>
        <v xml:space="preserve"> / </v>
      </c>
      <c r="D58" s="9" t="str">
        <f>_xlfn.CONCAT(_xlfn.XLOOKUP(KOMPLET[[#This Row],[POSTAVA]],III[POSTAVA],III[VSTUPY],0)," / ",_xlfn.XLOOKUP(KOMPLET[[#This Row],[POSTAVA]],III[POSTAVA],III[REPLIKY],0))</f>
        <v xml:space="preserve"> / </v>
      </c>
      <c r="E58" s="9" t="str">
        <f>_xlfn.CONCAT(_xlfn.XLOOKUP(KOMPLET[[#This Row],[POSTAVA]],IV[POSTAVA],IV[VSTUPY],0)," / ",_xlfn.XLOOKUP(KOMPLET[[#This Row],[POSTAVA]],IV[POSTAVA],IV[REPLIKY],0))</f>
        <v xml:space="preserve"> / </v>
      </c>
      <c r="F58" s="9" t="str">
        <f>_xlfn.CONCAT(_xlfn.XLOOKUP(KOMPLET[[#This Row],[POSTAVA]],V[POSTAVA],V[VSTUPY],0)," / ",_xlfn.XLOOKUP(KOMPLET[[#This Row],[POSTAVA]],V[POSTAVA],V[REPLIKY],0))</f>
        <v xml:space="preserve"> / </v>
      </c>
      <c r="G58" s="9" t="str">
        <f>_xlfn.CONCAT(_xlfn.XLOOKUP(KOMPLET[[#This Row],[POSTAVA]],VI[POSTAVA],VI[VSTUPY],0)," / ",_xlfn.XLOOKUP(KOMPLET[[#This Row],[POSTAVA]],VI[POSTAVA],VI[REPLIKY],0))</f>
        <v xml:space="preserve"> / </v>
      </c>
      <c r="I5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8" s="1"/>
    </row>
    <row r="59" spans="1:11" ht="17" x14ac:dyDescent="0.2">
      <c r="A59" s="26"/>
      <c r="B59" s="9" t="str">
        <f>_xlfn.CONCAT(_xlfn.XLOOKUP(KOMPLET[[#This Row],[POSTAVA]],I[POSTAVA],I[VSTUPY],0)," / ",_xlfn.XLOOKUP(KOMPLET[[#This Row],[POSTAVA]],I[POSTAVA],I[REPLIKY],0))</f>
        <v xml:space="preserve"> / </v>
      </c>
      <c r="C59" s="9" t="str">
        <f>_xlfn.CONCAT(_xlfn.XLOOKUP(KOMPLET[[#This Row],[POSTAVA]],II[POSTAVA],II[VSTUPY],0)," / ",_xlfn.XLOOKUP(KOMPLET[[#This Row],[POSTAVA]],II[POSTAVA],II[REPLIKY],0))</f>
        <v xml:space="preserve"> / </v>
      </c>
      <c r="D59" s="9" t="str">
        <f>_xlfn.CONCAT(_xlfn.XLOOKUP(KOMPLET[[#This Row],[POSTAVA]],III[POSTAVA],III[VSTUPY],0)," / ",_xlfn.XLOOKUP(KOMPLET[[#This Row],[POSTAVA]],III[POSTAVA],III[REPLIKY],0))</f>
        <v xml:space="preserve"> / </v>
      </c>
      <c r="E59" s="9" t="str">
        <f>_xlfn.CONCAT(_xlfn.XLOOKUP(KOMPLET[[#This Row],[POSTAVA]],IV[POSTAVA],IV[VSTUPY],0)," / ",_xlfn.XLOOKUP(KOMPLET[[#This Row],[POSTAVA]],IV[POSTAVA],IV[REPLIKY],0))</f>
        <v xml:space="preserve"> / </v>
      </c>
      <c r="F59" s="9" t="str">
        <f>_xlfn.CONCAT(_xlfn.XLOOKUP(KOMPLET[[#This Row],[POSTAVA]],V[POSTAVA],V[VSTUPY],0)," / ",_xlfn.XLOOKUP(KOMPLET[[#This Row],[POSTAVA]],V[POSTAVA],V[REPLIKY],0))</f>
        <v xml:space="preserve"> / </v>
      </c>
      <c r="G59" s="9" t="str">
        <f>_xlfn.CONCAT(_xlfn.XLOOKUP(KOMPLET[[#This Row],[POSTAVA]],VI[POSTAVA],VI[VSTUPY],0)," / ",_xlfn.XLOOKUP(KOMPLET[[#This Row],[POSTAVA]],VI[POSTAVA],VI[REPLIKY],0))</f>
        <v xml:space="preserve"> / </v>
      </c>
      <c r="I5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5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59" s="1"/>
    </row>
    <row r="60" spans="1:11" ht="17" x14ac:dyDescent="0.2">
      <c r="A60" s="20"/>
      <c r="B60" s="9" t="str">
        <f>_xlfn.CONCAT(_xlfn.XLOOKUP(KOMPLET[[#This Row],[POSTAVA]],I[POSTAVA],I[VSTUPY],0)," / ",_xlfn.XLOOKUP(KOMPLET[[#This Row],[POSTAVA]],I[POSTAVA],I[REPLIKY],0))</f>
        <v xml:space="preserve"> / </v>
      </c>
      <c r="C60" s="9" t="str">
        <f>_xlfn.CONCAT(_xlfn.XLOOKUP(KOMPLET[[#This Row],[POSTAVA]],II[POSTAVA],II[VSTUPY],0)," / ",_xlfn.XLOOKUP(KOMPLET[[#This Row],[POSTAVA]],II[POSTAVA],II[REPLIKY],0))</f>
        <v xml:space="preserve"> / </v>
      </c>
      <c r="D60" s="9" t="str">
        <f>_xlfn.CONCAT(_xlfn.XLOOKUP(KOMPLET[[#This Row],[POSTAVA]],III[POSTAVA],III[VSTUPY],0)," / ",_xlfn.XLOOKUP(KOMPLET[[#This Row],[POSTAVA]],III[POSTAVA],III[REPLIKY],0))</f>
        <v xml:space="preserve"> / </v>
      </c>
      <c r="E60" s="9" t="str">
        <f>_xlfn.CONCAT(_xlfn.XLOOKUP(KOMPLET[[#This Row],[POSTAVA]],IV[POSTAVA],IV[VSTUPY],0)," / ",_xlfn.XLOOKUP(KOMPLET[[#This Row],[POSTAVA]],IV[POSTAVA],IV[REPLIKY],0))</f>
        <v xml:space="preserve"> / </v>
      </c>
      <c r="F60" s="9" t="str">
        <f>_xlfn.CONCAT(_xlfn.XLOOKUP(KOMPLET[[#This Row],[POSTAVA]],V[POSTAVA],V[VSTUPY],0)," / ",_xlfn.XLOOKUP(KOMPLET[[#This Row],[POSTAVA]],V[POSTAVA],V[REPLIKY],0))</f>
        <v xml:space="preserve"> / </v>
      </c>
      <c r="G60" s="9" t="str">
        <f>_xlfn.CONCAT(_xlfn.XLOOKUP(KOMPLET[[#This Row],[POSTAVA]],VI[POSTAVA],VI[VSTUPY],0)," / ",_xlfn.XLOOKUP(KOMPLET[[#This Row],[POSTAVA]],VI[POSTAVA],VI[REPLIKY],0))</f>
        <v xml:space="preserve"> / </v>
      </c>
      <c r="I6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0" s="1"/>
    </row>
    <row r="61" spans="1:11" ht="17" x14ac:dyDescent="0.2">
      <c r="A61" s="20"/>
      <c r="B61" s="9" t="str">
        <f>_xlfn.CONCAT(_xlfn.XLOOKUP(KOMPLET[[#This Row],[POSTAVA]],I[POSTAVA],I[VSTUPY],0)," / ",_xlfn.XLOOKUP(KOMPLET[[#This Row],[POSTAVA]],I[POSTAVA],I[REPLIKY],0))</f>
        <v xml:space="preserve"> / </v>
      </c>
      <c r="C61" s="9" t="str">
        <f>_xlfn.CONCAT(_xlfn.XLOOKUP(KOMPLET[[#This Row],[POSTAVA]],II[POSTAVA],II[VSTUPY],0)," / ",_xlfn.XLOOKUP(KOMPLET[[#This Row],[POSTAVA]],II[POSTAVA],II[REPLIKY],0))</f>
        <v xml:space="preserve"> / </v>
      </c>
      <c r="D61" s="9" t="str">
        <f>_xlfn.CONCAT(_xlfn.XLOOKUP(KOMPLET[[#This Row],[POSTAVA]],III[POSTAVA],III[VSTUPY],0)," / ",_xlfn.XLOOKUP(KOMPLET[[#This Row],[POSTAVA]],III[POSTAVA],III[REPLIKY],0))</f>
        <v xml:space="preserve"> / </v>
      </c>
      <c r="E61" s="9" t="str">
        <f>_xlfn.CONCAT(_xlfn.XLOOKUP(KOMPLET[[#This Row],[POSTAVA]],IV[POSTAVA],IV[VSTUPY],0)," / ",_xlfn.XLOOKUP(KOMPLET[[#This Row],[POSTAVA]],IV[POSTAVA],IV[REPLIKY],0))</f>
        <v xml:space="preserve"> / </v>
      </c>
      <c r="F61" s="9" t="str">
        <f>_xlfn.CONCAT(_xlfn.XLOOKUP(KOMPLET[[#This Row],[POSTAVA]],V[POSTAVA],V[VSTUPY],0)," / ",_xlfn.XLOOKUP(KOMPLET[[#This Row],[POSTAVA]],V[POSTAVA],V[REPLIKY],0))</f>
        <v xml:space="preserve"> / </v>
      </c>
      <c r="G61" s="9" t="str">
        <f>_xlfn.CONCAT(_xlfn.XLOOKUP(KOMPLET[[#This Row],[POSTAVA]],VI[POSTAVA],VI[VSTUPY],0)," / ",_xlfn.XLOOKUP(KOMPLET[[#This Row],[POSTAVA]],VI[POSTAVA],VI[REPLIKY],0))</f>
        <v xml:space="preserve"> / </v>
      </c>
      <c r="I6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1" s="1"/>
    </row>
    <row r="62" spans="1:11" ht="17" x14ac:dyDescent="0.2">
      <c r="A62" s="20"/>
      <c r="B62" s="9" t="str">
        <f>_xlfn.CONCAT(_xlfn.XLOOKUP(KOMPLET[[#This Row],[POSTAVA]],I[POSTAVA],I[VSTUPY],0)," / ",_xlfn.XLOOKUP(KOMPLET[[#This Row],[POSTAVA]],I[POSTAVA],I[REPLIKY],0))</f>
        <v xml:space="preserve"> / </v>
      </c>
      <c r="C62" s="9" t="str">
        <f>_xlfn.CONCAT(_xlfn.XLOOKUP(KOMPLET[[#This Row],[POSTAVA]],II[POSTAVA],II[VSTUPY],0)," / ",_xlfn.XLOOKUP(KOMPLET[[#This Row],[POSTAVA]],II[POSTAVA],II[REPLIKY],0))</f>
        <v xml:space="preserve"> / </v>
      </c>
      <c r="D62" s="9" t="str">
        <f>_xlfn.CONCAT(_xlfn.XLOOKUP(KOMPLET[[#This Row],[POSTAVA]],III[POSTAVA],III[VSTUPY],0)," / ",_xlfn.XLOOKUP(KOMPLET[[#This Row],[POSTAVA]],III[POSTAVA],III[REPLIKY],0))</f>
        <v xml:space="preserve"> / </v>
      </c>
      <c r="E62" s="9" t="str">
        <f>_xlfn.CONCAT(_xlfn.XLOOKUP(KOMPLET[[#This Row],[POSTAVA]],IV[POSTAVA],IV[VSTUPY],0)," / ",_xlfn.XLOOKUP(KOMPLET[[#This Row],[POSTAVA]],IV[POSTAVA],IV[REPLIKY],0))</f>
        <v xml:space="preserve"> / </v>
      </c>
      <c r="F62" s="9" t="str">
        <f>_xlfn.CONCAT(_xlfn.XLOOKUP(KOMPLET[[#This Row],[POSTAVA]],V[POSTAVA],V[VSTUPY],0)," / ",_xlfn.XLOOKUP(KOMPLET[[#This Row],[POSTAVA]],V[POSTAVA],V[REPLIKY],0))</f>
        <v xml:space="preserve"> / </v>
      </c>
      <c r="G62" s="9" t="str">
        <f>_xlfn.CONCAT(_xlfn.XLOOKUP(KOMPLET[[#This Row],[POSTAVA]],VI[POSTAVA],VI[VSTUPY],0)," / ",_xlfn.XLOOKUP(KOMPLET[[#This Row],[POSTAVA]],VI[POSTAVA],VI[REPLIKY],0))</f>
        <v xml:space="preserve"> / </v>
      </c>
      <c r="I6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2" s="1"/>
    </row>
    <row r="63" spans="1:11" ht="17" x14ac:dyDescent="0.2">
      <c r="A63" s="20"/>
      <c r="B63" s="9" t="str">
        <f>_xlfn.CONCAT(_xlfn.XLOOKUP(KOMPLET[[#This Row],[POSTAVA]],I[POSTAVA],I[VSTUPY],0)," / ",_xlfn.XLOOKUP(KOMPLET[[#This Row],[POSTAVA]],I[POSTAVA],I[REPLIKY],0))</f>
        <v xml:space="preserve"> / </v>
      </c>
      <c r="C63" s="9" t="str">
        <f>_xlfn.CONCAT(_xlfn.XLOOKUP(KOMPLET[[#This Row],[POSTAVA]],II[POSTAVA],II[VSTUPY],0)," / ",_xlfn.XLOOKUP(KOMPLET[[#This Row],[POSTAVA]],II[POSTAVA],II[REPLIKY],0))</f>
        <v xml:space="preserve"> / </v>
      </c>
      <c r="D63" s="9" t="str">
        <f>_xlfn.CONCAT(_xlfn.XLOOKUP(KOMPLET[[#This Row],[POSTAVA]],III[POSTAVA],III[VSTUPY],0)," / ",_xlfn.XLOOKUP(KOMPLET[[#This Row],[POSTAVA]],III[POSTAVA],III[REPLIKY],0))</f>
        <v xml:space="preserve"> / </v>
      </c>
      <c r="E63" s="9" t="str">
        <f>_xlfn.CONCAT(_xlfn.XLOOKUP(KOMPLET[[#This Row],[POSTAVA]],IV[POSTAVA],IV[VSTUPY],0)," / ",_xlfn.XLOOKUP(KOMPLET[[#This Row],[POSTAVA]],IV[POSTAVA],IV[REPLIKY],0))</f>
        <v xml:space="preserve"> / </v>
      </c>
      <c r="F63" s="9" t="str">
        <f>_xlfn.CONCAT(_xlfn.XLOOKUP(KOMPLET[[#This Row],[POSTAVA]],V[POSTAVA],V[VSTUPY],0)," / ",_xlfn.XLOOKUP(KOMPLET[[#This Row],[POSTAVA]],V[POSTAVA],V[REPLIKY],0))</f>
        <v xml:space="preserve"> / </v>
      </c>
      <c r="G63" s="9" t="str">
        <f>_xlfn.CONCAT(_xlfn.XLOOKUP(KOMPLET[[#This Row],[POSTAVA]],VI[POSTAVA],VI[VSTUPY],0)," / ",_xlfn.XLOOKUP(KOMPLET[[#This Row],[POSTAVA]],VI[POSTAVA],VI[REPLIKY],0))</f>
        <v xml:space="preserve"> / </v>
      </c>
      <c r="I6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3" s="1"/>
    </row>
    <row r="64" spans="1:11" ht="17" x14ac:dyDescent="0.2">
      <c r="A64" s="20"/>
      <c r="B64" s="9" t="str">
        <f>_xlfn.CONCAT(_xlfn.XLOOKUP(KOMPLET[[#This Row],[POSTAVA]],I[POSTAVA],I[VSTUPY],0)," / ",_xlfn.XLOOKUP(KOMPLET[[#This Row],[POSTAVA]],I[POSTAVA],I[REPLIKY],0))</f>
        <v xml:space="preserve"> / </v>
      </c>
      <c r="C64" s="9" t="str">
        <f>_xlfn.CONCAT(_xlfn.XLOOKUP(KOMPLET[[#This Row],[POSTAVA]],II[POSTAVA],II[VSTUPY],0)," / ",_xlfn.XLOOKUP(KOMPLET[[#This Row],[POSTAVA]],II[POSTAVA],II[REPLIKY],0))</f>
        <v xml:space="preserve"> / </v>
      </c>
      <c r="D64" s="9" t="str">
        <f>_xlfn.CONCAT(_xlfn.XLOOKUP(KOMPLET[[#This Row],[POSTAVA]],III[POSTAVA],III[VSTUPY],0)," / ",_xlfn.XLOOKUP(KOMPLET[[#This Row],[POSTAVA]],III[POSTAVA],III[REPLIKY],0))</f>
        <v xml:space="preserve"> / </v>
      </c>
      <c r="E64" s="9" t="str">
        <f>_xlfn.CONCAT(_xlfn.XLOOKUP(KOMPLET[[#This Row],[POSTAVA]],IV[POSTAVA],IV[VSTUPY],0)," / ",_xlfn.XLOOKUP(KOMPLET[[#This Row],[POSTAVA]],IV[POSTAVA],IV[REPLIKY],0))</f>
        <v xml:space="preserve"> / </v>
      </c>
      <c r="F64" s="9" t="str">
        <f>_xlfn.CONCAT(_xlfn.XLOOKUP(KOMPLET[[#This Row],[POSTAVA]],V[POSTAVA],V[VSTUPY],0)," / ",_xlfn.XLOOKUP(KOMPLET[[#This Row],[POSTAVA]],V[POSTAVA],V[REPLIKY],0))</f>
        <v xml:space="preserve"> / </v>
      </c>
      <c r="G64" s="9" t="str">
        <f>_xlfn.CONCAT(_xlfn.XLOOKUP(KOMPLET[[#This Row],[POSTAVA]],VI[POSTAVA],VI[VSTUPY],0)," / ",_xlfn.XLOOKUP(KOMPLET[[#This Row],[POSTAVA]],VI[POSTAVA],VI[REPLIKY],0))</f>
        <v xml:space="preserve"> / </v>
      </c>
      <c r="I6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4" s="1"/>
    </row>
    <row r="65" spans="1:11" ht="17" x14ac:dyDescent="0.2">
      <c r="A65" s="20"/>
      <c r="B65" s="9" t="str">
        <f>_xlfn.CONCAT(_xlfn.XLOOKUP(KOMPLET[[#This Row],[POSTAVA]],I[POSTAVA],I[VSTUPY],0)," / ",_xlfn.XLOOKUP(KOMPLET[[#This Row],[POSTAVA]],I[POSTAVA],I[REPLIKY],0))</f>
        <v xml:space="preserve"> / </v>
      </c>
      <c r="C65" s="9" t="str">
        <f>_xlfn.CONCAT(_xlfn.XLOOKUP(KOMPLET[[#This Row],[POSTAVA]],II[POSTAVA],II[VSTUPY],0)," / ",_xlfn.XLOOKUP(KOMPLET[[#This Row],[POSTAVA]],II[POSTAVA],II[REPLIKY],0))</f>
        <v xml:space="preserve"> / </v>
      </c>
      <c r="D65" s="9" t="str">
        <f>_xlfn.CONCAT(_xlfn.XLOOKUP(KOMPLET[[#This Row],[POSTAVA]],III[POSTAVA],III[VSTUPY],0)," / ",_xlfn.XLOOKUP(KOMPLET[[#This Row],[POSTAVA]],III[POSTAVA],III[REPLIKY],0))</f>
        <v xml:space="preserve"> / </v>
      </c>
      <c r="E65" s="9" t="str">
        <f>_xlfn.CONCAT(_xlfn.XLOOKUP(KOMPLET[[#This Row],[POSTAVA]],IV[POSTAVA],IV[VSTUPY],0)," / ",_xlfn.XLOOKUP(KOMPLET[[#This Row],[POSTAVA]],IV[POSTAVA],IV[REPLIKY],0))</f>
        <v xml:space="preserve"> / </v>
      </c>
      <c r="F65" s="9" t="str">
        <f>_xlfn.CONCAT(_xlfn.XLOOKUP(KOMPLET[[#This Row],[POSTAVA]],V[POSTAVA],V[VSTUPY],0)," / ",_xlfn.XLOOKUP(KOMPLET[[#This Row],[POSTAVA]],V[POSTAVA],V[REPLIKY],0))</f>
        <v xml:space="preserve"> / </v>
      </c>
      <c r="G65" s="9" t="str">
        <f>_xlfn.CONCAT(_xlfn.XLOOKUP(KOMPLET[[#This Row],[POSTAVA]],VI[POSTAVA],VI[VSTUPY],0)," / ",_xlfn.XLOOKUP(KOMPLET[[#This Row],[POSTAVA]],VI[POSTAVA],VI[REPLIKY],0))</f>
        <v xml:space="preserve"> / </v>
      </c>
      <c r="I6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5" s="1"/>
    </row>
    <row r="66" spans="1:11" ht="17" x14ac:dyDescent="0.2">
      <c r="A66" s="20"/>
      <c r="B66" s="9" t="str">
        <f>_xlfn.CONCAT(_xlfn.XLOOKUP(KOMPLET[[#This Row],[POSTAVA]],I[POSTAVA],I[VSTUPY],0)," / ",_xlfn.XLOOKUP(KOMPLET[[#This Row],[POSTAVA]],I[POSTAVA],I[REPLIKY],0))</f>
        <v xml:space="preserve"> / </v>
      </c>
      <c r="C66" s="9" t="str">
        <f>_xlfn.CONCAT(_xlfn.XLOOKUP(KOMPLET[[#This Row],[POSTAVA]],II[POSTAVA],II[VSTUPY],0)," / ",_xlfn.XLOOKUP(KOMPLET[[#This Row],[POSTAVA]],II[POSTAVA],II[REPLIKY],0))</f>
        <v xml:space="preserve"> / </v>
      </c>
      <c r="D66" s="9" t="str">
        <f>_xlfn.CONCAT(_xlfn.XLOOKUP(KOMPLET[[#This Row],[POSTAVA]],III[POSTAVA],III[VSTUPY],0)," / ",_xlfn.XLOOKUP(KOMPLET[[#This Row],[POSTAVA]],III[POSTAVA],III[REPLIKY],0))</f>
        <v xml:space="preserve"> / </v>
      </c>
      <c r="E66" s="9" t="str">
        <f>_xlfn.CONCAT(_xlfn.XLOOKUP(KOMPLET[[#This Row],[POSTAVA]],IV[POSTAVA],IV[VSTUPY],0)," / ",_xlfn.XLOOKUP(KOMPLET[[#This Row],[POSTAVA]],IV[POSTAVA],IV[REPLIKY],0))</f>
        <v xml:space="preserve"> / </v>
      </c>
      <c r="F66" s="9" t="str">
        <f>_xlfn.CONCAT(_xlfn.XLOOKUP(KOMPLET[[#This Row],[POSTAVA]],V[POSTAVA],V[VSTUPY],0)," / ",_xlfn.XLOOKUP(KOMPLET[[#This Row],[POSTAVA]],V[POSTAVA],V[REPLIKY],0))</f>
        <v xml:space="preserve"> / </v>
      </c>
      <c r="G66" s="9" t="str">
        <f>_xlfn.CONCAT(_xlfn.XLOOKUP(KOMPLET[[#This Row],[POSTAVA]],VI[POSTAVA],VI[VSTUPY],0)," / ",_xlfn.XLOOKUP(KOMPLET[[#This Row],[POSTAVA]],VI[POSTAVA],VI[REPLIKY],0))</f>
        <v xml:space="preserve"> / </v>
      </c>
      <c r="I6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6" s="1"/>
    </row>
    <row r="67" spans="1:11" ht="17" x14ac:dyDescent="0.2">
      <c r="A67" s="20"/>
      <c r="B67" s="9" t="str">
        <f>_xlfn.CONCAT(_xlfn.XLOOKUP(KOMPLET[[#This Row],[POSTAVA]],I[POSTAVA],I[VSTUPY],0)," / ",_xlfn.XLOOKUP(KOMPLET[[#This Row],[POSTAVA]],I[POSTAVA],I[REPLIKY],0))</f>
        <v xml:space="preserve"> / </v>
      </c>
      <c r="C67" s="9" t="str">
        <f>_xlfn.CONCAT(_xlfn.XLOOKUP(KOMPLET[[#This Row],[POSTAVA]],II[POSTAVA],II[VSTUPY],0)," / ",_xlfn.XLOOKUP(KOMPLET[[#This Row],[POSTAVA]],II[POSTAVA],II[REPLIKY],0))</f>
        <v xml:space="preserve"> / </v>
      </c>
      <c r="D67" s="9" t="str">
        <f>_xlfn.CONCAT(_xlfn.XLOOKUP(KOMPLET[[#This Row],[POSTAVA]],III[POSTAVA],III[VSTUPY],0)," / ",_xlfn.XLOOKUP(KOMPLET[[#This Row],[POSTAVA]],III[POSTAVA],III[REPLIKY],0))</f>
        <v xml:space="preserve"> / </v>
      </c>
      <c r="E67" s="9" t="str">
        <f>_xlfn.CONCAT(_xlfn.XLOOKUP(KOMPLET[[#This Row],[POSTAVA]],IV[POSTAVA],IV[VSTUPY],0)," / ",_xlfn.XLOOKUP(KOMPLET[[#This Row],[POSTAVA]],IV[POSTAVA],IV[REPLIKY],0))</f>
        <v xml:space="preserve"> / </v>
      </c>
      <c r="F67" s="9" t="str">
        <f>_xlfn.CONCAT(_xlfn.XLOOKUP(KOMPLET[[#This Row],[POSTAVA]],V[POSTAVA],V[VSTUPY],0)," / ",_xlfn.XLOOKUP(KOMPLET[[#This Row],[POSTAVA]],V[POSTAVA],V[REPLIKY],0))</f>
        <v xml:space="preserve"> / </v>
      </c>
      <c r="G67" s="9" t="str">
        <f>_xlfn.CONCAT(_xlfn.XLOOKUP(KOMPLET[[#This Row],[POSTAVA]],VI[POSTAVA],VI[VSTUPY],0)," / ",_xlfn.XLOOKUP(KOMPLET[[#This Row],[POSTAVA]],VI[POSTAVA],VI[REPLIKY],0))</f>
        <v xml:space="preserve"> / </v>
      </c>
      <c r="I6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7" s="1"/>
    </row>
    <row r="68" spans="1:11" ht="17" x14ac:dyDescent="0.2">
      <c r="A68" s="20"/>
      <c r="B68" s="9" t="str">
        <f>_xlfn.CONCAT(_xlfn.XLOOKUP(KOMPLET[[#This Row],[POSTAVA]],I[POSTAVA],I[VSTUPY],0)," / ",_xlfn.XLOOKUP(KOMPLET[[#This Row],[POSTAVA]],I[POSTAVA],I[REPLIKY],0))</f>
        <v xml:space="preserve"> / </v>
      </c>
      <c r="C68" s="9" t="str">
        <f>_xlfn.CONCAT(_xlfn.XLOOKUP(KOMPLET[[#This Row],[POSTAVA]],II[POSTAVA],II[VSTUPY],0)," / ",_xlfn.XLOOKUP(KOMPLET[[#This Row],[POSTAVA]],II[POSTAVA],II[REPLIKY],0))</f>
        <v xml:space="preserve"> / </v>
      </c>
      <c r="D68" s="9" t="str">
        <f>_xlfn.CONCAT(_xlfn.XLOOKUP(KOMPLET[[#This Row],[POSTAVA]],III[POSTAVA],III[VSTUPY],0)," / ",_xlfn.XLOOKUP(KOMPLET[[#This Row],[POSTAVA]],III[POSTAVA],III[REPLIKY],0))</f>
        <v xml:space="preserve"> / </v>
      </c>
      <c r="E68" s="9" t="str">
        <f>_xlfn.CONCAT(_xlfn.XLOOKUP(KOMPLET[[#This Row],[POSTAVA]],IV[POSTAVA],IV[VSTUPY],0)," / ",_xlfn.XLOOKUP(KOMPLET[[#This Row],[POSTAVA]],IV[POSTAVA],IV[REPLIKY],0))</f>
        <v xml:space="preserve"> / </v>
      </c>
      <c r="F68" s="9" t="str">
        <f>_xlfn.CONCAT(_xlfn.XLOOKUP(KOMPLET[[#This Row],[POSTAVA]],V[POSTAVA],V[VSTUPY],0)," / ",_xlfn.XLOOKUP(KOMPLET[[#This Row],[POSTAVA]],V[POSTAVA],V[REPLIKY],0))</f>
        <v xml:space="preserve"> / </v>
      </c>
      <c r="G68" s="9" t="str">
        <f>_xlfn.CONCAT(_xlfn.XLOOKUP(KOMPLET[[#This Row],[POSTAVA]],VI[POSTAVA],VI[VSTUPY],0)," / ",_xlfn.XLOOKUP(KOMPLET[[#This Row],[POSTAVA]],VI[POSTAVA],VI[REPLIKY],0))</f>
        <v xml:space="preserve"> / </v>
      </c>
      <c r="I6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8" s="1"/>
    </row>
    <row r="69" spans="1:11" ht="17" x14ac:dyDescent="0.2">
      <c r="A69" s="20"/>
      <c r="B69" s="9" t="str">
        <f>_xlfn.CONCAT(_xlfn.XLOOKUP(KOMPLET[[#This Row],[POSTAVA]],I[POSTAVA],I[VSTUPY],0)," / ",_xlfn.XLOOKUP(KOMPLET[[#This Row],[POSTAVA]],I[POSTAVA],I[REPLIKY],0))</f>
        <v xml:space="preserve"> / </v>
      </c>
      <c r="C69" s="9" t="str">
        <f>_xlfn.CONCAT(_xlfn.XLOOKUP(KOMPLET[[#This Row],[POSTAVA]],II[POSTAVA],II[VSTUPY],0)," / ",_xlfn.XLOOKUP(KOMPLET[[#This Row],[POSTAVA]],II[POSTAVA],II[REPLIKY],0))</f>
        <v xml:space="preserve"> / </v>
      </c>
      <c r="D69" s="9" t="str">
        <f>_xlfn.CONCAT(_xlfn.XLOOKUP(KOMPLET[[#This Row],[POSTAVA]],III[POSTAVA],III[VSTUPY],0)," / ",_xlfn.XLOOKUP(KOMPLET[[#This Row],[POSTAVA]],III[POSTAVA],III[REPLIKY],0))</f>
        <v xml:space="preserve"> / </v>
      </c>
      <c r="E69" s="9" t="str">
        <f>_xlfn.CONCAT(_xlfn.XLOOKUP(KOMPLET[[#This Row],[POSTAVA]],IV[POSTAVA],IV[VSTUPY],0)," / ",_xlfn.XLOOKUP(KOMPLET[[#This Row],[POSTAVA]],IV[POSTAVA],IV[REPLIKY],0))</f>
        <v xml:space="preserve"> / </v>
      </c>
      <c r="F69" s="9" t="str">
        <f>_xlfn.CONCAT(_xlfn.XLOOKUP(KOMPLET[[#This Row],[POSTAVA]],V[POSTAVA],V[VSTUPY],0)," / ",_xlfn.XLOOKUP(KOMPLET[[#This Row],[POSTAVA]],V[POSTAVA],V[REPLIKY],0))</f>
        <v xml:space="preserve"> / </v>
      </c>
      <c r="G69" s="9" t="str">
        <f>_xlfn.CONCAT(_xlfn.XLOOKUP(KOMPLET[[#This Row],[POSTAVA]],VI[POSTAVA],VI[VSTUPY],0)," / ",_xlfn.XLOOKUP(KOMPLET[[#This Row],[POSTAVA]],VI[POSTAVA],VI[REPLIKY],0))</f>
        <v xml:space="preserve"> / </v>
      </c>
      <c r="I6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6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69" s="1"/>
    </row>
    <row r="70" spans="1:11" ht="17" x14ac:dyDescent="0.2">
      <c r="A70" s="20"/>
      <c r="B70" s="9" t="str">
        <f>_xlfn.CONCAT(_xlfn.XLOOKUP(KOMPLET[[#This Row],[POSTAVA]],I[POSTAVA],I[VSTUPY],0)," / ",_xlfn.XLOOKUP(KOMPLET[[#This Row],[POSTAVA]],I[POSTAVA],I[REPLIKY],0))</f>
        <v xml:space="preserve"> / </v>
      </c>
      <c r="C70" s="9" t="str">
        <f>_xlfn.CONCAT(_xlfn.XLOOKUP(KOMPLET[[#This Row],[POSTAVA]],II[POSTAVA],II[VSTUPY],0)," / ",_xlfn.XLOOKUP(KOMPLET[[#This Row],[POSTAVA]],II[POSTAVA],II[REPLIKY],0))</f>
        <v xml:space="preserve"> / </v>
      </c>
      <c r="D70" s="9" t="str">
        <f>_xlfn.CONCAT(_xlfn.XLOOKUP(KOMPLET[[#This Row],[POSTAVA]],III[POSTAVA],III[VSTUPY],0)," / ",_xlfn.XLOOKUP(KOMPLET[[#This Row],[POSTAVA]],III[POSTAVA],III[REPLIKY],0))</f>
        <v xml:space="preserve"> / </v>
      </c>
      <c r="E70" s="9" t="str">
        <f>_xlfn.CONCAT(_xlfn.XLOOKUP(KOMPLET[[#This Row],[POSTAVA]],IV[POSTAVA],IV[VSTUPY],0)," / ",_xlfn.XLOOKUP(KOMPLET[[#This Row],[POSTAVA]],IV[POSTAVA],IV[REPLIKY],0))</f>
        <v xml:space="preserve"> / </v>
      </c>
      <c r="F70" s="9" t="str">
        <f>_xlfn.CONCAT(_xlfn.XLOOKUP(KOMPLET[[#This Row],[POSTAVA]],V[POSTAVA],V[VSTUPY],0)," / ",_xlfn.XLOOKUP(KOMPLET[[#This Row],[POSTAVA]],V[POSTAVA],V[REPLIKY],0))</f>
        <v xml:space="preserve"> / </v>
      </c>
      <c r="G70" s="9" t="str">
        <f>_xlfn.CONCAT(_xlfn.XLOOKUP(KOMPLET[[#This Row],[POSTAVA]],VI[POSTAVA],VI[VSTUPY],0)," / ",_xlfn.XLOOKUP(KOMPLET[[#This Row],[POSTAVA]],VI[POSTAVA],VI[REPLIKY],0))</f>
        <v xml:space="preserve"> / </v>
      </c>
      <c r="I7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0" s="1"/>
    </row>
    <row r="71" spans="1:11" ht="17" x14ac:dyDescent="0.2">
      <c r="A71" s="20"/>
      <c r="B71" s="9" t="str">
        <f>_xlfn.CONCAT(_xlfn.XLOOKUP(KOMPLET[[#This Row],[POSTAVA]],I[POSTAVA],I[VSTUPY],0)," / ",_xlfn.XLOOKUP(KOMPLET[[#This Row],[POSTAVA]],I[POSTAVA],I[REPLIKY],0))</f>
        <v xml:space="preserve"> / </v>
      </c>
      <c r="C71" s="9" t="str">
        <f>_xlfn.CONCAT(_xlfn.XLOOKUP(KOMPLET[[#This Row],[POSTAVA]],II[POSTAVA],II[VSTUPY],0)," / ",_xlfn.XLOOKUP(KOMPLET[[#This Row],[POSTAVA]],II[POSTAVA],II[REPLIKY],0))</f>
        <v xml:space="preserve"> / </v>
      </c>
      <c r="D71" s="9" t="str">
        <f>_xlfn.CONCAT(_xlfn.XLOOKUP(KOMPLET[[#This Row],[POSTAVA]],III[POSTAVA],III[VSTUPY],0)," / ",_xlfn.XLOOKUP(KOMPLET[[#This Row],[POSTAVA]],III[POSTAVA],III[REPLIKY],0))</f>
        <v xml:space="preserve"> / </v>
      </c>
      <c r="E71" s="9" t="str">
        <f>_xlfn.CONCAT(_xlfn.XLOOKUP(KOMPLET[[#This Row],[POSTAVA]],IV[POSTAVA],IV[VSTUPY],0)," / ",_xlfn.XLOOKUP(KOMPLET[[#This Row],[POSTAVA]],IV[POSTAVA],IV[REPLIKY],0))</f>
        <v xml:space="preserve"> / </v>
      </c>
      <c r="F71" s="9" t="str">
        <f>_xlfn.CONCAT(_xlfn.XLOOKUP(KOMPLET[[#This Row],[POSTAVA]],V[POSTAVA],V[VSTUPY],0)," / ",_xlfn.XLOOKUP(KOMPLET[[#This Row],[POSTAVA]],V[POSTAVA],V[REPLIKY],0))</f>
        <v xml:space="preserve"> / </v>
      </c>
      <c r="G71" s="9" t="str">
        <f>_xlfn.CONCAT(_xlfn.XLOOKUP(KOMPLET[[#This Row],[POSTAVA]],VI[POSTAVA],VI[VSTUPY],0)," / ",_xlfn.XLOOKUP(KOMPLET[[#This Row],[POSTAVA]],VI[POSTAVA],VI[REPLIKY],0))</f>
        <v xml:space="preserve"> / </v>
      </c>
      <c r="I7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1" s="1"/>
    </row>
    <row r="72" spans="1:11" ht="17" x14ac:dyDescent="0.2">
      <c r="A72" s="20"/>
      <c r="B72" s="9" t="str">
        <f>_xlfn.CONCAT(_xlfn.XLOOKUP(KOMPLET[[#This Row],[POSTAVA]],I[POSTAVA],I[VSTUPY],0)," / ",_xlfn.XLOOKUP(KOMPLET[[#This Row],[POSTAVA]],I[POSTAVA],I[REPLIKY],0))</f>
        <v xml:space="preserve"> / </v>
      </c>
      <c r="C72" s="9" t="str">
        <f>_xlfn.CONCAT(_xlfn.XLOOKUP(KOMPLET[[#This Row],[POSTAVA]],II[POSTAVA],II[VSTUPY],0)," / ",_xlfn.XLOOKUP(KOMPLET[[#This Row],[POSTAVA]],II[POSTAVA],II[REPLIKY],0))</f>
        <v xml:space="preserve"> / </v>
      </c>
      <c r="D72" s="9" t="str">
        <f>_xlfn.CONCAT(_xlfn.XLOOKUP(KOMPLET[[#This Row],[POSTAVA]],III[POSTAVA],III[VSTUPY],0)," / ",_xlfn.XLOOKUP(KOMPLET[[#This Row],[POSTAVA]],III[POSTAVA],III[REPLIKY],0))</f>
        <v xml:space="preserve"> / </v>
      </c>
      <c r="E72" s="9" t="str">
        <f>_xlfn.CONCAT(_xlfn.XLOOKUP(KOMPLET[[#This Row],[POSTAVA]],IV[POSTAVA],IV[VSTUPY],0)," / ",_xlfn.XLOOKUP(KOMPLET[[#This Row],[POSTAVA]],IV[POSTAVA],IV[REPLIKY],0))</f>
        <v xml:space="preserve"> / </v>
      </c>
      <c r="F72" s="9" t="str">
        <f>_xlfn.CONCAT(_xlfn.XLOOKUP(KOMPLET[[#This Row],[POSTAVA]],V[POSTAVA],V[VSTUPY],0)," / ",_xlfn.XLOOKUP(KOMPLET[[#This Row],[POSTAVA]],V[POSTAVA],V[REPLIKY],0))</f>
        <v xml:space="preserve"> / </v>
      </c>
      <c r="G72" s="9" t="str">
        <f>_xlfn.CONCAT(_xlfn.XLOOKUP(KOMPLET[[#This Row],[POSTAVA]],VI[POSTAVA],VI[VSTUPY],0)," / ",_xlfn.XLOOKUP(KOMPLET[[#This Row],[POSTAVA]],VI[POSTAVA],VI[REPLIKY],0))</f>
        <v xml:space="preserve"> / </v>
      </c>
      <c r="I7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2" s="1"/>
    </row>
    <row r="73" spans="1:11" ht="17" x14ac:dyDescent="0.2">
      <c r="A73" s="20"/>
      <c r="B73" s="9" t="str">
        <f>_xlfn.CONCAT(_xlfn.XLOOKUP(KOMPLET[[#This Row],[POSTAVA]],I[POSTAVA],I[VSTUPY],0)," / ",_xlfn.XLOOKUP(KOMPLET[[#This Row],[POSTAVA]],I[POSTAVA],I[REPLIKY],0))</f>
        <v xml:space="preserve"> / </v>
      </c>
      <c r="C73" s="9" t="str">
        <f>_xlfn.CONCAT(_xlfn.XLOOKUP(KOMPLET[[#This Row],[POSTAVA]],II[POSTAVA],II[VSTUPY],0)," / ",_xlfn.XLOOKUP(KOMPLET[[#This Row],[POSTAVA]],II[POSTAVA],II[REPLIKY],0))</f>
        <v xml:space="preserve"> / </v>
      </c>
      <c r="D73" s="9" t="str">
        <f>_xlfn.CONCAT(_xlfn.XLOOKUP(KOMPLET[[#This Row],[POSTAVA]],III[POSTAVA],III[VSTUPY],0)," / ",_xlfn.XLOOKUP(KOMPLET[[#This Row],[POSTAVA]],III[POSTAVA],III[REPLIKY],0))</f>
        <v xml:space="preserve"> / </v>
      </c>
      <c r="E73" s="9" t="str">
        <f>_xlfn.CONCAT(_xlfn.XLOOKUP(KOMPLET[[#This Row],[POSTAVA]],IV[POSTAVA],IV[VSTUPY],0)," / ",_xlfn.XLOOKUP(KOMPLET[[#This Row],[POSTAVA]],IV[POSTAVA],IV[REPLIKY],0))</f>
        <v xml:space="preserve"> / </v>
      </c>
      <c r="F73" s="9" t="str">
        <f>_xlfn.CONCAT(_xlfn.XLOOKUP(KOMPLET[[#This Row],[POSTAVA]],V[POSTAVA],V[VSTUPY],0)," / ",_xlfn.XLOOKUP(KOMPLET[[#This Row],[POSTAVA]],V[POSTAVA],V[REPLIKY],0))</f>
        <v xml:space="preserve"> / </v>
      </c>
      <c r="G73" s="9" t="str">
        <f>_xlfn.CONCAT(_xlfn.XLOOKUP(KOMPLET[[#This Row],[POSTAVA]],VI[POSTAVA],VI[VSTUPY],0)," / ",_xlfn.XLOOKUP(KOMPLET[[#This Row],[POSTAVA]],VI[POSTAVA],VI[REPLIKY],0))</f>
        <v xml:space="preserve"> / </v>
      </c>
      <c r="I7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3" s="1"/>
    </row>
    <row r="74" spans="1:11" ht="17" x14ac:dyDescent="0.2">
      <c r="A74" s="20"/>
      <c r="B74" s="9" t="str">
        <f>_xlfn.CONCAT(_xlfn.XLOOKUP(KOMPLET[[#This Row],[POSTAVA]],I[POSTAVA],I[VSTUPY],0)," / ",_xlfn.XLOOKUP(KOMPLET[[#This Row],[POSTAVA]],I[POSTAVA],I[REPLIKY],0))</f>
        <v xml:space="preserve"> / </v>
      </c>
      <c r="C74" s="9" t="str">
        <f>_xlfn.CONCAT(_xlfn.XLOOKUP(KOMPLET[[#This Row],[POSTAVA]],II[POSTAVA],II[VSTUPY],0)," / ",_xlfn.XLOOKUP(KOMPLET[[#This Row],[POSTAVA]],II[POSTAVA],II[REPLIKY],0))</f>
        <v xml:space="preserve"> / </v>
      </c>
      <c r="D74" s="9" t="str">
        <f>_xlfn.CONCAT(_xlfn.XLOOKUP(KOMPLET[[#This Row],[POSTAVA]],III[POSTAVA],III[VSTUPY],0)," / ",_xlfn.XLOOKUP(KOMPLET[[#This Row],[POSTAVA]],III[POSTAVA],III[REPLIKY],0))</f>
        <v xml:space="preserve"> / </v>
      </c>
      <c r="E74" s="9" t="str">
        <f>_xlfn.CONCAT(_xlfn.XLOOKUP(KOMPLET[[#This Row],[POSTAVA]],IV[POSTAVA],IV[VSTUPY],0)," / ",_xlfn.XLOOKUP(KOMPLET[[#This Row],[POSTAVA]],IV[POSTAVA],IV[REPLIKY],0))</f>
        <v xml:space="preserve"> / </v>
      </c>
      <c r="F74" s="9" t="str">
        <f>_xlfn.CONCAT(_xlfn.XLOOKUP(KOMPLET[[#This Row],[POSTAVA]],V[POSTAVA],V[VSTUPY],0)," / ",_xlfn.XLOOKUP(KOMPLET[[#This Row],[POSTAVA]],V[POSTAVA],V[REPLIKY],0))</f>
        <v xml:space="preserve"> / </v>
      </c>
      <c r="G74" s="9" t="str">
        <f>_xlfn.CONCAT(_xlfn.XLOOKUP(KOMPLET[[#This Row],[POSTAVA]],VI[POSTAVA],VI[VSTUPY],0)," / ",_xlfn.XLOOKUP(KOMPLET[[#This Row],[POSTAVA]],VI[POSTAVA],VI[REPLIKY],0))</f>
        <v xml:space="preserve"> / </v>
      </c>
      <c r="I7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4" s="1"/>
    </row>
    <row r="75" spans="1:11" ht="17" x14ac:dyDescent="0.2">
      <c r="A75" s="20"/>
      <c r="B75" s="9" t="str">
        <f>_xlfn.CONCAT(_xlfn.XLOOKUP(KOMPLET[[#This Row],[POSTAVA]],I[POSTAVA],I[VSTUPY],0)," / ",_xlfn.XLOOKUP(KOMPLET[[#This Row],[POSTAVA]],I[POSTAVA],I[REPLIKY],0))</f>
        <v xml:space="preserve"> / </v>
      </c>
      <c r="C75" s="9" t="str">
        <f>_xlfn.CONCAT(_xlfn.XLOOKUP(KOMPLET[[#This Row],[POSTAVA]],II[POSTAVA],II[VSTUPY],0)," / ",_xlfn.XLOOKUP(KOMPLET[[#This Row],[POSTAVA]],II[POSTAVA],II[REPLIKY],0))</f>
        <v xml:space="preserve"> / </v>
      </c>
      <c r="D75" s="9" t="str">
        <f>_xlfn.CONCAT(_xlfn.XLOOKUP(KOMPLET[[#This Row],[POSTAVA]],III[POSTAVA],III[VSTUPY],0)," / ",_xlfn.XLOOKUP(KOMPLET[[#This Row],[POSTAVA]],III[POSTAVA],III[REPLIKY],0))</f>
        <v xml:space="preserve"> / </v>
      </c>
      <c r="E75" s="9" t="str">
        <f>_xlfn.CONCAT(_xlfn.XLOOKUP(KOMPLET[[#This Row],[POSTAVA]],IV[POSTAVA],IV[VSTUPY],0)," / ",_xlfn.XLOOKUP(KOMPLET[[#This Row],[POSTAVA]],IV[POSTAVA],IV[REPLIKY],0))</f>
        <v xml:space="preserve"> / </v>
      </c>
      <c r="F75" s="9" t="str">
        <f>_xlfn.CONCAT(_xlfn.XLOOKUP(KOMPLET[[#This Row],[POSTAVA]],V[POSTAVA],V[VSTUPY],0)," / ",_xlfn.XLOOKUP(KOMPLET[[#This Row],[POSTAVA]],V[POSTAVA],V[REPLIKY],0))</f>
        <v xml:space="preserve"> / </v>
      </c>
      <c r="G75" s="9" t="str">
        <f>_xlfn.CONCAT(_xlfn.XLOOKUP(KOMPLET[[#This Row],[POSTAVA]],VI[POSTAVA],VI[VSTUPY],0)," / ",_xlfn.XLOOKUP(KOMPLET[[#This Row],[POSTAVA]],VI[POSTAVA],VI[REPLIKY],0))</f>
        <v xml:space="preserve"> / </v>
      </c>
      <c r="I7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5" s="1"/>
    </row>
    <row r="76" spans="1:11" ht="17" x14ac:dyDescent="0.2">
      <c r="A76" s="20"/>
      <c r="B76" s="9" t="str">
        <f>_xlfn.CONCAT(_xlfn.XLOOKUP(KOMPLET[[#This Row],[POSTAVA]],I[POSTAVA],I[VSTUPY],0)," / ",_xlfn.XLOOKUP(KOMPLET[[#This Row],[POSTAVA]],I[POSTAVA],I[REPLIKY],0))</f>
        <v xml:space="preserve"> / </v>
      </c>
      <c r="C76" s="9" t="str">
        <f>_xlfn.CONCAT(_xlfn.XLOOKUP(KOMPLET[[#This Row],[POSTAVA]],II[POSTAVA],II[VSTUPY],0)," / ",_xlfn.XLOOKUP(KOMPLET[[#This Row],[POSTAVA]],II[POSTAVA],II[REPLIKY],0))</f>
        <v xml:space="preserve"> / </v>
      </c>
      <c r="D76" s="9" t="str">
        <f>_xlfn.CONCAT(_xlfn.XLOOKUP(KOMPLET[[#This Row],[POSTAVA]],III[POSTAVA],III[VSTUPY],0)," / ",_xlfn.XLOOKUP(KOMPLET[[#This Row],[POSTAVA]],III[POSTAVA],III[REPLIKY],0))</f>
        <v xml:space="preserve"> / </v>
      </c>
      <c r="E76" s="9" t="str">
        <f>_xlfn.CONCAT(_xlfn.XLOOKUP(KOMPLET[[#This Row],[POSTAVA]],IV[POSTAVA],IV[VSTUPY],0)," / ",_xlfn.XLOOKUP(KOMPLET[[#This Row],[POSTAVA]],IV[POSTAVA],IV[REPLIKY],0))</f>
        <v xml:space="preserve"> / </v>
      </c>
      <c r="F76" s="9" t="str">
        <f>_xlfn.CONCAT(_xlfn.XLOOKUP(KOMPLET[[#This Row],[POSTAVA]],V[POSTAVA],V[VSTUPY],0)," / ",_xlfn.XLOOKUP(KOMPLET[[#This Row],[POSTAVA]],V[POSTAVA],V[REPLIKY],0))</f>
        <v xml:space="preserve"> / </v>
      </c>
      <c r="G76" s="9" t="str">
        <f>_xlfn.CONCAT(_xlfn.XLOOKUP(KOMPLET[[#This Row],[POSTAVA]],VI[POSTAVA],VI[VSTUPY],0)," / ",_xlfn.XLOOKUP(KOMPLET[[#This Row],[POSTAVA]],VI[POSTAVA],VI[REPLIKY],0))</f>
        <v xml:space="preserve"> / </v>
      </c>
      <c r="H76" s="20"/>
      <c r="I7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6" s="1"/>
    </row>
    <row r="77" spans="1:11" ht="17" x14ac:dyDescent="0.2">
      <c r="A77" s="20"/>
      <c r="B77" s="9" t="str">
        <f>_xlfn.CONCAT(_xlfn.XLOOKUP(KOMPLET[[#This Row],[POSTAVA]],I[POSTAVA],I[VSTUPY],0)," / ",_xlfn.XLOOKUP(KOMPLET[[#This Row],[POSTAVA]],I[POSTAVA],I[REPLIKY],0))</f>
        <v xml:space="preserve"> / </v>
      </c>
      <c r="C77" s="9" t="str">
        <f>_xlfn.CONCAT(_xlfn.XLOOKUP(KOMPLET[[#This Row],[POSTAVA]],II[POSTAVA],II[VSTUPY],0)," / ",_xlfn.XLOOKUP(KOMPLET[[#This Row],[POSTAVA]],II[POSTAVA],II[REPLIKY],0))</f>
        <v xml:space="preserve"> / </v>
      </c>
      <c r="D77" s="9" t="str">
        <f>_xlfn.CONCAT(_xlfn.XLOOKUP(KOMPLET[[#This Row],[POSTAVA]],III[POSTAVA],III[VSTUPY],0)," / ",_xlfn.XLOOKUP(KOMPLET[[#This Row],[POSTAVA]],III[POSTAVA],III[REPLIKY],0))</f>
        <v xml:space="preserve"> / </v>
      </c>
      <c r="E77" s="9" t="str">
        <f>_xlfn.CONCAT(_xlfn.XLOOKUP(KOMPLET[[#This Row],[POSTAVA]],IV[POSTAVA],IV[VSTUPY],0)," / ",_xlfn.XLOOKUP(KOMPLET[[#This Row],[POSTAVA]],IV[POSTAVA],IV[REPLIKY],0))</f>
        <v xml:space="preserve"> / </v>
      </c>
      <c r="F77" s="9" t="str">
        <f>_xlfn.CONCAT(_xlfn.XLOOKUP(KOMPLET[[#This Row],[POSTAVA]],V[POSTAVA],V[VSTUPY],0)," / ",_xlfn.XLOOKUP(KOMPLET[[#This Row],[POSTAVA]],V[POSTAVA],V[REPLIKY],0))</f>
        <v xml:space="preserve"> / </v>
      </c>
      <c r="G77" s="9" t="str">
        <f>_xlfn.CONCAT(_xlfn.XLOOKUP(KOMPLET[[#This Row],[POSTAVA]],VI[POSTAVA],VI[VSTUPY],0)," / ",_xlfn.XLOOKUP(KOMPLET[[#This Row],[POSTAVA]],VI[POSTAVA],VI[REPLIKY],0))</f>
        <v xml:space="preserve"> / </v>
      </c>
      <c r="I7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7" s="1"/>
    </row>
    <row r="78" spans="1:11" ht="17" x14ac:dyDescent="0.2">
      <c r="A78" s="20"/>
      <c r="B78" s="9" t="str">
        <f>_xlfn.CONCAT(_xlfn.XLOOKUP(KOMPLET[[#This Row],[POSTAVA]],I[POSTAVA],I[VSTUPY],0)," / ",_xlfn.XLOOKUP(KOMPLET[[#This Row],[POSTAVA]],I[POSTAVA],I[REPLIKY],0))</f>
        <v xml:space="preserve"> / </v>
      </c>
      <c r="C78" s="9" t="str">
        <f>_xlfn.CONCAT(_xlfn.XLOOKUP(KOMPLET[[#This Row],[POSTAVA]],II[POSTAVA],II[VSTUPY],0)," / ",_xlfn.XLOOKUP(KOMPLET[[#This Row],[POSTAVA]],II[POSTAVA],II[REPLIKY],0))</f>
        <v xml:space="preserve"> / </v>
      </c>
      <c r="D78" s="9" t="str">
        <f>_xlfn.CONCAT(_xlfn.XLOOKUP(KOMPLET[[#This Row],[POSTAVA]],III[POSTAVA],III[VSTUPY],0)," / ",_xlfn.XLOOKUP(KOMPLET[[#This Row],[POSTAVA]],III[POSTAVA],III[REPLIKY],0))</f>
        <v xml:space="preserve"> / </v>
      </c>
      <c r="E78" s="9" t="str">
        <f>_xlfn.CONCAT(_xlfn.XLOOKUP(KOMPLET[[#This Row],[POSTAVA]],IV[POSTAVA],IV[VSTUPY],0)," / ",_xlfn.XLOOKUP(KOMPLET[[#This Row],[POSTAVA]],IV[POSTAVA],IV[REPLIKY],0))</f>
        <v xml:space="preserve"> / </v>
      </c>
      <c r="F78" s="9" t="str">
        <f>_xlfn.CONCAT(_xlfn.XLOOKUP(KOMPLET[[#This Row],[POSTAVA]],V[POSTAVA],V[VSTUPY],0)," / ",_xlfn.XLOOKUP(KOMPLET[[#This Row],[POSTAVA]],V[POSTAVA],V[REPLIKY],0))</f>
        <v xml:space="preserve"> / </v>
      </c>
      <c r="G78" s="9" t="str">
        <f>_xlfn.CONCAT(_xlfn.XLOOKUP(KOMPLET[[#This Row],[POSTAVA]],VI[POSTAVA],VI[VSTUPY],0)," / ",_xlfn.XLOOKUP(KOMPLET[[#This Row],[POSTAVA]],VI[POSTAVA],VI[REPLIKY],0))</f>
        <v xml:space="preserve"> / </v>
      </c>
      <c r="I7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8" s="1"/>
    </row>
    <row r="79" spans="1:11" ht="17" x14ac:dyDescent="0.2">
      <c r="A79" s="20"/>
      <c r="B79" s="9" t="str">
        <f>_xlfn.CONCAT(_xlfn.XLOOKUP(KOMPLET[[#This Row],[POSTAVA]],I[POSTAVA],I[VSTUPY],0)," / ",_xlfn.XLOOKUP(KOMPLET[[#This Row],[POSTAVA]],I[POSTAVA],I[REPLIKY],0))</f>
        <v xml:space="preserve"> / </v>
      </c>
      <c r="C79" s="9" t="str">
        <f>_xlfn.CONCAT(_xlfn.XLOOKUP(KOMPLET[[#This Row],[POSTAVA]],II[POSTAVA],II[VSTUPY],0)," / ",_xlfn.XLOOKUP(KOMPLET[[#This Row],[POSTAVA]],II[POSTAVA],II[REPLIKY],0))</f>
        <v xml:space="preserve"> / </v>
      </c>
      <c r="D79" s="9" t="str">
        <f>_xlfn.CONCAT(_xlfn.XLOOKUP(KOMPLET[[#This Row],[POSTAVA]],III[POSTAVA],III[VSTUPY],0)," / ",_xlfn.XLOOKUP(KOMPLET[[#This Row],[POSTAVA]],III[POSTAVA],III[REPLIKY],0))</f>
        <v xml:space="preserve"> / </v>
      </c>
      <c r="E79" s="9" t="str">
        <f>_xlfn.CONCAT(_xlfn.XLOOKUP(KOMPLET[[#This Row],[POSTAVA]],IV[POSTAVA],IV[VSTUPY],0)," / ",_xlfn.XLOOKUP(KOMPLET[[#This Row],[POSTAVA]],IV[POSTAVA],IV[REPLIKY],0))</f>
        <v xml:space="preserve"> / </v>
      </c>
      <c r="F79" s="9" t="str">
        <f>_xlfn.CONCAT(_xlfn.XLOOKUP(KOMPLET[[#This Row],[POSTAVA]],V[POSTAVA],V[VSTUPY],0)," / ",_xlfn.XLOOKUP(KOMPLET[[#This Row],[POSTAVA]],V[POSTAVA],V[REPLIKY],0))</f>
        <v xml:space="preserve"> / </v>
      </c>
      <c r="G79" s="9" t="str">
        <f>_xlfn.CONCAT(_xlfn.XLOOKUP(KOMPLET[[#This Row],[POSTAVA]],VI[POSTAVA],VI[VSTUPY],0)," / ",_xlfn.XLOOKUP(KOMPLET[[#This Row],[POSTAVA]],VI[POSTAVA],VI[REPLIKY],0))</f>
        <v xml:space="preserve"> / </v>
      </c>
      <c r="I7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7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79" s="1"/>
    </row>
    <row r="80" spans="1:11" ht="17" x14ac:dyDescent="0.2">
      <c r="A80" s="20"/>
      <c r="B80" s="9" t="str">
        <f>_xlfn.CONCAT(_xlfn.XLOOKUP(KOMPLET[[#This Row],[POSTAVA]],I[POSTAVA],I[VSTUPY],0)," / ",_xlfn.XLOOKUP(KOMPLET[[#This Row],[POSTAVA]],I[POSTAVA],I[REPLIKY],0))</f>
        <v xml:space="preserve"> / </v>
      </c>
      <c r="C80" s="9" t="str">
        <f>_xlfn.CONCAT(_xlfn.XLOOKUP(KOMPLET[[#This Row],[POSTAVA]],II[POSTAVA],II[VSTUPY],0)," / ",_xlfn.XLOOKUP(KOMPLET[[#This Row],[POSTAVA]],II[POSTAVA],II[REPLIKY],0))</f>
        <v xml:space="preserve"> / </v>
      </c>
      <c r="D80" s="9" t="str">
        <f>_xlfn.CONCAT(_xlfn.XLOOKUP(KOMPLET[[#This Row],[POSTAVA]],III[POSTAVA],III[VSTUPY],0)," / ",_xlfn.XLOOKUP(KOMPLET[[#This Row],[POSTAVA]],III[POSTAVA],III[REPLIKY],0))</f>
        <v xml:space="preserve"> / </v>
      </c>
      <c r="E80" s="9" t="str">
        <f>_xlfn.CONCAT(_xlfn.XLOOKUP(KOMPLET[[#This Row],[POSTAVA]],IV[POSTAVA],IV[VSTUPY],0)," / ",_xlfn.XLOOKUP(KOMPLET[[#This Row],[POSTAVA]],IV[POSTAVA],IV[REPLIKY],0))</f>
        <v xml:space="preserve"> / </v>
      </c>
      <c r="F80" s="9" t="str">
        <f>_xlfn.CONCAT(_xlfn.XLOOKUP(KOMPLET[[#This Row],[POSTAVA]],V[POSTAVA],V[VSTUPY],0)," / ",_xlfn.XLOOKUP(KOMPLET[[#This Row],[POSTAVA]],V[POSTAVA],V[REPLIKY],0))</f>
        <v xml:space="preserve"> / </v>
      </c>
      <c r="G80" s="9" t="str">
        <f>_xlfn.CONCAT(_xlfn.XLOOKUP(KOMPLET[[#This Row],[POSTAVA]],VI[POSTAVA],VI[VSTUPY],0)," / ",_xlfn.XLOOKUP(KOMPLET[[#This Row],[POSTAVA]],VI[POSTAVA],VI[REPLIKY],0))</f>
        <v xml:space="preserve"> / </v>
      </c>
      <c r="I8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0" s="1"/>
    </row>
    <row r="81" spans="1:11" ht="17" x14ac:dyDescent="0.2">
      <c r="A81" s="20"/>
      <c r="B81" s="9" t="str">
        <f>_xlfn.CONCAT(_xlfn.XLOOKUP(KOMPLET[[#This Row],[POSTAVA]],I[POSTAVA],I[VSTUPY],0)," / ",_xlfn.XLOOKUP(KOMPLET[[#This Row],[POSTAVA]],I[POSTAVA],I[REPLIKY],0))</f>
        <v xml:space="preserve"> / </v>
      </c>
      <c r="C81" s="9" t="str">
        <f>_xlfn.CONCAT(_xlfn.XLOOKUP(KOMPLET[[#This Row],[POSTAVA]],II[POSTAVA],II[VSTUPY],0)," / ",_xlfn.XLOOKUP(KOMPLET[[#This Row],[POSTAVA]],II[POSTAVA],II[REPLIKY],0))</f>
        <v xml:space="preserve"> / </v>
      </c>
      <c r="D81" s="9" t="str">
        <f>_xlfn.CONCAT(_xlfn.XLOOKUP(KOMPLET[[#This Row],[POSTAVA]],III[POSTAVA],III[VSTUPY],0)," / ",_xlfn.XLOOKUP(KOMPLET[[#This Row],[POSTAVA]],III[POSTAVA],III[REPLIKY],0))</f>
        <v xml:space="preserve"> / </v>
      </c>
      <c r="E81" s="9" t="str">
        <f>_xlfn.CONCAT(_xlfn.XLOOKUP(KOMPLET[[#This Row],[POSTAVA]],IV[POSTAVA],IV[VSTUPY],0)," / ",_xlfn.XLOOKUP(KOMPLET[[#This Row],[POSTAVA]],IV[POSTAVA],IV[REPLIKY],0))</f>
        <v xml:space="preserve"> / </v>
      </c>
      <c r="F81" s="9" t="str">
        <f>_xlfn.CONCAT(_xlfn.XLOOKUP(KOMPLET[[#This Row],[POSTAVA]],V[POSTAVA],V[VSTUPY],0)," / ",_xlfn.XLOOKUP(KOMPLET[[#This Row],[POSTAVA]],V[POSTAVA],V[REPLIKY],0))</f>
        <v xml:space="preserve"> / </v>
      </c>
      <c r="G81" s="9" t="str">
        <f>_xlfn.CONCAT(_xlfn.XLOOKUP(KOMPLET[[#This Row],[POSTAVA]],VI[POSTAVA],VI[VSTUPY],0)," / ",_xlfn.XLOOKUP(KOMPLET[[#This Row],[POSTAVA]],VI[POSTAVA],VI[REPLIKY],0))</f>
        <v xml:space="preserve"> / </v>
      </c>
      <c r="I8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1" s="1"/>
    </row>
    <row r="82" spans="1:11" ht="17" x14ac:dyDescent="0.2">
      <c r="A82" s="20"/>
      <c r="B82" s="9" t="str">
        <f>_xlfn.CONCAT(_xlfn.XLOOKUP(KOMPLET[[#This Row],[POSTAVA]],I[POSTAVA],I[VSTUPY],0)," / ",_xlfn.XLOOKUP(KOMPLET[[#This Row],[POSTAVA]],I[POSTAVA],I[REPLIKY],0))</f>
        <v xml:space="preserve"> / </v>
      </c>
      <c r="C82" s="9" t="str">
        <f>_xlfn.CONCAT(_xlfn.XLOOKUP(KOMPLET[[#This Row],[POSTAVA]],II[POSTAVA],II[VSTUPY],0)," / ",_xlfn.XLOOKUP(KOMPLET[[#This Row],[POSTAVA]],II[POSTAVA],II[REPLIKY],0))</f>
        <v xml:space="preserve"> / </v>
      </c>
      <c r="D82" s="9" t="str">
        <f>_xlfn.CONCAT(_xlfn.XLOOKUP(KOMPLET[[#This Row],[POSTAVA]],III[POSTAVA],III[VSTUPY],0)," / ",_xlfn.XLOOKUP(KOMPLET[[#This Row],[POSTAVA]],III[POSTAVA],III[REPLIKY],0))</f>
        <v xml:space="preserve"> / </v>
      </c>
      <c r="E82" s="9" t="str">
        <f>_xlfn.CONCAT(_xlfn.XLOOKUP(KOMPLET[[#This Row],[POSTAVA]],IV[POSTAVA],IV[VSTUPY],0)," / ",_xlfn.XLOOKUP(KOMPLET[[#This Row],[POSTAVA]],IV[POSTAVA],IV[REPLIKY],0))</f>
        <v xml:space="preserve"> / </v>
      </c>
      <c r="F82" s="9" t="str">
        <f>_xlfn.CONCAT(_xlfn.XLOOKUP(KOMPLET[[#This Row],[POSTAVA]],V[POSTAVA],V[VSTUPY],0)," / ",_xlfn.XLOOKUP(KOMPLET[[#This Row],[POSTAVA]],V[POSTAVA],V[REPLIKY],0))</f>
        <v xml:space="preserve"> / </v>
      </c>
      <c r="G82" s="9" t="str">
        <f>_xlfn.CONCAT(_xlfn.XLOOKUP(KOMPLET[[#This Row],[POSTAVA]],VI[POSTAVA],VI[VSTUPY],0)," / ",_xlfn.XLOOKUP(KOMPLET[[#This Row],[POSTAVA]],VI[POSTAVA],VI[REPLIKY],0))</f>
        <v xml:space="preserve"> / </v>
      </c>
      <c r="H82" s="20"/>
      <c r="I8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2" s="1"/>
    </row>
    <row r="83" spans="1:11" ht="17" x14ac:dyDescent="0.2">
      <c r="A83" s="20"/>
      <c r="B83" s="9" t="str">
        <f>_xlfn.CONCAT(_xlfn.XLOOKUP(KOMPLET[[#This Row],[POSTAVA]],I[POSTAVA],I[VSTUPY],0)," / ",_xlfn.XLOOKUP(KOMPLET[[#This Row],[POSTAVA]],I[POSTAVA],I[REPLIKY],0))</f>
        <v xml:space="preserve"> / </v>
      </c>
      <c r="C83" s="9" t="str">
        <f>_xlfn.CONCAT(_xlfn.XLOOKUP(KOMPLET[[#This Row],[POSTAVA]],II[POSTAVA],II[VSTUPY],0)," / ",_xlfn.XLOOKUP(KOMPLET[[#This Row],[POSTAVA]],II[POSTAVA],II[REPLIKY],0))</f>
        <v xml:space="preserve"> / </v>
      </c>
      <c r="D83" s="9" t="str">
        <f>_xlfn.CONCAT(_xlfn.XLOOKUP(KOMPLET[[#This Row],[POSTAVA]],III[POSTAVA],III[VSTUPY],0)," / ",_xlfn.XLOOKUP(KOMPLET[[#This Row],[POSTAVA]],III[POSTAVA],III[REPLIKY],0))</f>
        <v xml:space="preserve"> / </v>
      </c>
      <c r="E83" s="9" t="str">
        <f>_xlfn.CONCAT(_xlfn.XLOOKUP(KOMPLET[[#This Row],[POSTAVA]],IV[POSTAVA],IV[VSTUPY],0)," / ",_xlfn.XLOOKUP(KOMPLET[[#This Row],[POSTAVA]],IV[POSTAVA],IV[REPLIKY],0))</f>
        <v xml:space="preserve"> / </v>
      </c>
      <c r="F83" s="9" t="str">
        <f>_xlfn.CONCAT(_xlfn.XLOOKUP(KOMPLET[[#This Row],[POSTAVA]],V[POSTAVA],V[VSTUPY],0)," / ",_xlfn.XLOOKUP(KOMPLET[[#This Row],[POSTAVA]],V[POSTAVA],V[REPLIKY],0))</f>
        <v xml:space="preserve"> / </v>
      </c>
      <c r="G83" s="9" t="str">
        <f>_xlfn.CONCAT(_xlfn.XLOOKUP(KOMPLET[[#This Row],[POSTAVA]],VI[POSTAVA],VI[VSTUPY],0)," / ",_xlfn.XLOOKUP(KOMPLET[[#This Row],[POSTAVA]],VI[POSTAVA],VI[REPLIKY],0))</f>
        <v xml:space="preserve"> / </v>
      </c>
      <c r="I8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3" s="1"/>
    </row>
    <row r="84" spans="1:11" ht="17" x14ac:dyDescent="0.2">
      <c r="A84" s="20"/>
      <c r="B84" s="9" t="str">
        <f>_xlfn.CONCAT(_xlfn.XLOOKUP(KOMPLET[[#This Row],[POSTAVA]],I[POSTAVA],I[VSTUPY],0)," / ",_xlfn.XLOOKUP(KOMPLET[[#This Row],[POSTAVA]],I[POSTAVA],I[REPLIKY],0))</f>
        <v xml:space="preserve"> / </v>
      </c>
      <c r="C84" s="9" t="str">
        <f>_xlfn.CONCAT(_xlfn.XLOOKUP(KOMPLET[[#This Row],[POSTAVA]],II[POSTAVA],II[VSTUPY],0)," / ",_xlfn.XLOOKUP(KOMPLET[[#This Row],[POSTAVA]],II[POSTAVA],II[REPLIKY],0))</f>
        <v xml:space="preserve"> / </v>
      </c>
      <c r="D84" s="9" t="str">
        <f>_xlfn.CONCAT(_xlfn.XLOOKUP(KOMPLET[[#This Row],[POSTAVA]],III[POSTAVA],III[VSTUPY],0)," / ",_xlfn.XLOOKUP(KOMPLET[[#This Row],[POSTAVA]],III[POSTAVA],III[REPLIKY],0))</f>
        <v xml:space="preserve"> / </v>
      </c>
      <c r="E84" s="9" t="str">
        <f>_xlfn.CONCAT(_xlfn.XLOOKUP(KOMPLET[[#This Row],[POSTAVA]],IV[POSTAVA],IV[VSTUPY],0)," / ",_xlfn.XLOOKUP(KOMPLET[[#This Row],[POSTAVA]],IV[POSTAVA],IV[REPLIKY],0))</f>
        <v xml:space="preserve"> / </v>
      </c>
      <c r="F84" s="9" t="str">
        <f>_xlfn.CONCAT(_xlfn.XLOOKUP(KOMPLET[[#This Row],[POSTAVA]],V[POSTAVA],V[VSTUPY],0)," / ",_xlfn.XLOOKUP(KOMPLET[[#This Row],[POSTAVA]],V[POSTAVA],V[REPLIKY],0))</f>
        <v xml:space="preserve"> / </v>
      </c>
      <c r="G84" s="9" t="str">
        <f>_xlfn.CONCAT(_xlfn.XLOOKUP(KOMPLET[[#This Row],[POSTAVA]],VI[POSTAVA],VI[VSTUPY],0)," / ",_xlfn.XLOOKUP(KOMPLET[[#This Row],[POSTAVA]],VI[POSTAVA],VI[REPLIKY],0))</f>
        <v xml:space="preserve"> / </v>
      </c>
      <c r="I8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4" s="1"/>
    </row>
    <row r="85" spans="1:11" ht="17" x14ac:dyDescent="0.2">
      <c r="A85" s="20"/>
      <c r="B85" s="9" t="str">
        <f>_xlfn.CONCAT(_xlfn.XLOOKUP(KOMPLET[[#This Row],[POSTAVA]],I[POSTAVA],I[VSTUPY],0)," / ",_xlfn.XLOOKUP(KOMPLET[[#This Row],[POSTAVA]],I[POSTAVA],I[REPLIKY],0))</f>
        <v xml:space="preserve"> / </v>
      </c>
      <c r="C85" s="9" t="str">
        <f>_xlfn.CONCAT(_xlfn.XLOOKUP(KOMPLET[[#This Row],[POSTAVA]],II[POSTAVA],II[VSTUPY],0)," / ",_xlfn.XLOOKUP(KOMPLET[[#This Row],[POSTAVA]],II[POSTAVA],II[REPLIKY],0))</f>
        <v xml:space="preserve"> / </v>
      </c>
      <c r="D85" s="9" t="str">
        <f>_xlfn.CONCAT(_xlfn.XLOOKUP(KOMPLET[[#This Row],[POSTAVA]],III[POSTAVA],III[VSTUPY],0)," / ",_xlfn.XLOOKUP(KOMPLET[[#This Row],[POSTAVA]],III[POSTAVA],III[REPLIKY],0))</f>
        <v xml:space="preserve"> / </v>
      </c>
      <c r="E85" s="9" t="str">
        <f>_xlfn.CONCAT(_xlfn.XLOOKUP(KOMPLET[[#This Row],[POSTAVA]],IV[POSTAVA],IV[VSTUPY],0)," / ",_xlfn.XLOOKUP(KOMPLET[[#This Row],[POSTAVA]],IV[POSTAVA],IV[REPLIKY],0))</f>
        <v xml:space="preserve"> / </v>
      </c>
      <c r="F85" s="9" t="str">
        <f>_xlfn.CONCAT(_xlfn.XLOOKUP(KOMPLET[[#This Row],[POSTAVA]],V[POSTAVA],V[VSTUPY],0)," / ",_xlfn.XLOOKUP(KOMPLET[[#This Row],[POSTAVA]],V[POSTAVA],V[REPLIKY],0))</f>
        <v xml:space="preserve"> / </v>
      </c>
      <c r="G85" s="9" t="str">
        <f>_xlfn.CONCAT(_xlfn.XLOOKUP(KOMPLET[[#This Row],[POSTAVA]],VI[POSTAVA],VI[VSTUPY],0)," / ",_xlfn.XLOOKUP(KOMPLET[[#This Row],[POSTAVA]],VI[POSTAVA],VI[REPLIKY],0))</f>
        <v xml:space="preserve"> / </v>
      </c>
      <c r="I8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5" s="1"/>
    </row>
    <row r="86" spans="1:11" ht="17" x14ac:dyDescent="0.2">
      <c r="A86" s="20"/>
      <c r="B86" s="9" t="str">
        <f>_xlfn.CONCAT(_xlfn.XLOOKUP(KOMPLET[[#This Row],[POSTAVA]],I[POSTAVA],I[VSTUPY],0)," / ",_xlfn.XLOOKUP(KOMPLET[[#This Row],[POSTAVA]],I[POSTAVA],I[REPLIKY],0))</f>
        <v xml:space="preserve"> / </v>
      </c>
      <c r="C86" s="9" t="str">
        <f>_xlfn.CONCAT(_xlfn.XLOOKUP(KOMPLET[[#This Row],[POSTAVA]],II[POSTAVA],II[VSTUPY],0)," / ",_xlfn.XLOOKUP(KOMPLET[[#This Row],[POSTAVA]],II[POSTAVA],II[REPLIKY],0))</f>
        <v xml:space="preserve"> / </v>
      </c>
      <c r="D86" s="9" t="str">
        <f>_xlfn.CONCAT(_xlfn.XLOOKUP(KOMPLET[[#This Row],[POSTAVA]],III[POSTAVA],III[VSTUPY],0)," / ",_xlfn.XLOOKUP(KOMPLET[[#This Row],[POSTAVA]],III[POSTAVA],III[REPLIKY],0))</f>
        <v xml:space="preserve"> / </v>
      </c>
      <c r="E86" s="9" t="str">
        <f>_xlfn.CONCAT(_xlfn.XLOOKUP(KOMPLET[[#This Row],[POSTAVA]],IV[POSTAVA],IV[VSTUPY],0)," / ",_xlfn.XLOOKUP(KOMPLET[[#This Row],[POSTAVA]],IV[POSTAVA],IV[REPLIKY],0))</f>
        <v xml:space="preserve"> / </v>
      </c>
      <c r="F86" s="9" t="str">
        <f>_xlfn.CONCAT(_xlfn.XLOOKUP(KOMPLET[[#This Row],[POSTAVA]],V[POSTAVA],V[VSTUPY],0)," / ",_xlfn.XLOOKUP(KOMPLET[[#This Row],[POSTAVA]],V[POSTAVA],V[REPLIKY],0))</f>
        <v xml:space="preserve"> / </v>
      </c>
      <c r="G86" s="9" t="str">
        <f>_xlfn.CONCAT(_xlfn.XLOOKUP(KOMPLET[[#This Row],[POSTAVA]],VI[POSTAVA],VI[VSTUPY],0)," / ",_xlfn.XLOOKUP(KOMPLET[[#This Row],[POSTAVA]],VI[POSTAVA],VI[REPLIKY],0))</f>
        <v xml:space="preserve"> / </v>
      </c>
      <c r="I8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6" s="1"/>
    </row>
    <row r="87" spans="1:11" ht="17" x14ac:dyDescent="0.2">
      <c r="A87" s="20"/>
      <c r="B87" s="9" t="str">
        <f>_xlfn.CONCAT(_xlfn.XLOOKUP(KOMPLET[[#This Row],[POSTAVA]],I[POSTAVA],I[VSTUPY],0)," / ",_xlfn.XLOOKUP(KOMPLET[[#This Row],[POSTAVA]],I[POSTAVA],I[REPLIKY],0))</f>
        <v xml:space="preserve"> / </v>
      </c>
      <c r="C87" s="9" t="str">
        <f>_xlfn.CONCAT(_xlfn.XLOOKUP(KOMPLET[[#This Row],[POSTAVA]],II[POSTAVA],II[VSTUPY],0)," / ",_xlfn.XLOOKUP(KOMPLET[[#This Row],[POSTAVA]],II[POSTAVA],II[REPLIKY],0))</f>
        <v xml:space="preserve"> / </v>
      </c>
      <c r="D87" s="9" t="str">
        <f>_xlfn.CONCAT(_xlfn.XLOOKUP(KOMPLET[[#This Row],[POSTAVA]],III[POSTAVA],III[VSTUPY],0)," / ",_xlfn.XLOOKUP(KOMPLET[[#This Row],[POSTAVA]],III[POSTAVA],III[REPLIKY],0))</f>
        <v xml:space="preserve"> / </v>
      </c>
      <c r="E87" s="9" t="str">
        <f>_xlfn.CONCAT(_xlfn.XLOOKUP(KOMPLET[[#This Row],[POSTAVA]],IV[POSTAVA],IV[VSTUPY],0)," / ",_xlfn.XLOOKUP(KOMPLET[[#This Row],[POSTAVA]],IV[POSTAVA],IV[REPLIKY],0))</f>
        <v xml:space="preserve"> / </v>
      </c>
      <c r="F87" s="9" t="str">
        <f>_xlfn.CONCAT(_xlfn.XLOOKUP(KOMPLET[[#This Row],[POSTAVA]],V[POSTAVA],V[VSTUPY],0)," / ",_xlfn.XLOOKUP(KOMPLET[[#This Row],[POSTAVA]],V[POSTAVA],V[REPLIKY],0))</f>
        <v xml:space="preserve"> / </v>
      </c>
      <c r="G87" s="9" t="str">
        <f>_xlfn.CONCAT(_xlfn.XLOOKUP(KOMPLET[[#This Row],[POSTAVA]],VI[POSTAVA],VI[VSTUPY],0)," / ",_xlfn.XLOOKUP(KOMPLET[[#This Row],[POSTAVA]],VI[POSTAVA],VI[REPLIKY],0))</f>
        <v xml:space="preserve"> / </v>
      </c>
      <c r="I8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7" s="1"/>
    </row>
    <row r="88" spans="1:11" ht="17" x14ac:dyDescent="0.2">
      <c r="A88" s="20"/>
      <c r="B88" s="9" t="str">
        <f>_xlfn.CONCAT(_xlfn.XLOOKUP(KOMPLET[[#This Row],[POSTAVA]],I[POSTAVA],I[VSTUPY],0)," / ",_xlfn.XLOOKUP(KOMPLET[[#This Row],[POSTAVA]],I[POSTAVA],I[REPLIKY],0))</f>
        <v xml:space="preserve"> / </v>
      </c>
      <c r="C88" s="9" t="str">
        <f>_xlfn.CONCAT(_xlfn.XLOOKUP(KOMPLET[[#This Row],[POSTAVA]],II[POSTAVA],II[VSTUPY],0)," / ",_xlfn.XLOOKUP(KOMPLET[[#This Row],[POSTAVA]],II[POSTAVA],II[REPLIKY],0))</f>
        <v xml:space="preserve"> / </v>
      </c>
      <c r="D88" s="9" t="str">
        <f>_xlfn.CONCAT(_xlfn.XLOOKUP(KOMPLET[[#This Row],[POSTAVA]],III[POSTAVA],III[VSTUPY],0)," / ",_xlfn.XLOOKUP(KOMPLET[[#This Row],[POSTAVA]],III[POSTAVA],III[REPLIKY],0))</f>
        <v xml:space="preserve"> / </v>
      </c>
      <c r="E88" s="9" t="str">
        <f>_xlfn.CONCAT(_xlfn.XLOOKUP(KOMPLET[[#This Row],[POSTAVA]],IV[POSTAVA],IV[VSTUPY],0)," / ",_xlfn.XLOOKUP(KOMPLET[[#This Row],[POSTAVA]],IV[POSTAVA],IV[REPLIKY],0))</f>
        <v xml:space="preserve"> / </v>
      </c>
      <c r="F88" s="9" t="str">
        <f>_xlfn.CONCAT(_xlfn.XLOOKUP(KOMPLET[[#This Row],[POSTAVA]],V[POSTAVA],V[VSTUPY],0)," / ",_xlfn.XLOOKUP(KOMPLET[[#This Row],[POSTAVA]],V[POSTAVA],V[REPLIKY],0))</f>
        <v xml:space="preserve"> / </v>
      </c>
      <c r="G88" s="9" t="str">
        <f>_xlfn.CONCAT(_xlfn.XLOOKUP(KOMPLET[[#This Row],[POSTAVA]],VI[POSTAVA],VI[VSTUPY],0)," / ",_xlfn.XLOOKUP(KOMPLET[[#This Row],[POSTAVA]],VI[POSTAVA],VI[REPLIKY],0))</f>
        <v xml:space="preserve"> / </v>
      </c>
      <c r="I8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8" s="1"/>
    </row>
    <row r="89" spans="1:11" ht="17" x14ac:dyDescent="0.2">
      <c r="A89" s="20"/>
      <c r="B89" s="9" t="str">
        <f>_xlfn.CONCAT(_xlfn.XLOOKUP(KOMPLET[[#This Row],[POSTAVA]],I[POSTAVA],I[VSTUPY],0)," / ",_xlfn.XLOOKUP(KOMPLET[[#This Row],[POSTAVA]],I[POSTAVA],I[REPLIKY],0))</f>
        <v xml:space="preserve"> / </v>
      </c>
      <c r="C89" s="9" t="str">
        <f>_xlfn.CONCAT(_xlfn.XLOOKUP(KOMPLET[[#This Row],[POSTAVA]],II[POSTAVA],II[VSTUPY],0)," / ",_xlfn.XLOOKUP(KOMPLET[[#This Row],[POSTAVA]],II[POSTAVA],II[REPLIKY],0))</f>
        <v xml:space="preserve"> / </v>
      </c>
      <c r="D89" s="9" t="str">
        <f>_xlfn.CONCAT(_xlfn.XLOOKUP(KOMPLET[[#This Row],[POSTAVA]],III[POSTAVA],III[VSTUPY],0)," / ",_xlfn.XLOOKUP(KOMPLET[[#This Row],[POSTAVA]],III[POSTAVA],III[REPLIKY],0))</f>
        <v xml:space="preserve"> / </v>
      </c>
      <c r="E89" s="9" t="str">
        <f>_xlfn.CONCAT(_xlfn.XLOOKUP(KOMPLET[[#This Row],[POSTAVA]],IV[POSTAVA],IV[VSTUPY],0)," / ",_xlfn.XLOOKUP(KOMPLET[[#This Row],[POSTAVA]],IV[POSTAVA],IV[REPLIKY],0))</f>
        <v xml:space="preserve"> / </v>
      </c>
      <c r="F89" s="9" t="str">
        <f>_xlfn.CONCAT(_xlfn.XLOOKUP(KOMPLET[[#This Row],[POSTAVA]],V[POSTAVA],V[VSTUPY],0)," / ",_xlfn.XLOOKUP(KOMPLET[[#This Row],[POSTAVA]],V[POSTAVA],V[REPLIKY],0))</f>
        <v xml:space="preserve"> / </v>
      </c>
      <c r="G89" s="9" t="str">
        <f>_xlfn.CONCAT(_xlfn.XLOOKUP(KOMPLET[[#This Row],[POSTAVA]],VI[POSTAVA],VI[VSTUPY],0)," / ",_xlfn.XLOOKUP(KOMPLET[[#This Row],[POSTAVA]],VI[POSTAVA],VI[REPLIKY],0))</f>
        <v xml:space="preserve"> / </v>
      </c>
      <c r="I8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8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89" s="1"/>
    </row>
    <row r="90" spans="1:11" ht="17" x14ac:dyDescent="0.2">
      <c r="A90" s="20"/>
      <c r="B90" s="9" t="str">
        <f>_xlfn.CONCAT(_xlfn.XLOOKUP(KOMPLET[[#This Row],[POSTAVA]],I[POSTAVA],I[VSTUPY],0)," / ",_xlfn.XLOOKUP(KOMPLET[[#This Row],[POSTAVA]],I[POSTAVA],I[REPLIKY],0))</f>
        <v xml:space="preserve"> / </v>
      </c>
      <c r="C90" s="9" t="str">
        <f>_xlfn.CONCAT(_xlfn.XLOOKUP(KOMPLET[[#This Row],[POSTAVA]],II[POSTAVA],II[VSTUPY],0)," / ",_xlfn.XLOOKUP(KOMPLET[[#This Row],[POSTAVA]],II[POSTAVA],II[REPLIKY],0))</f>
        <v xml:space="preserve"> / </v>
      </c>
      <c r="D90" s="9" t="str">
        <f>_xlfn.CONCAT(_xlfn.XLOOKUP(KOMPLET[[#This Row],[POSTAVA]],III[POSTAVA],III[VSTUPY],0)," / ",_xlfn.XLOOKUP(KOMPLET[[#This Row],[POSTAVA]],III[POSTAVA],III[REPLIKY],0))</f>
        <v xml:space="preserve"> / </v>
      </c>
      <c r="E90" s="9" t="str">
        <f>_xlfn.CONCAT(_xlfn.XLOOKUP(KOMPLET[[#This Row],[POSTAVA]],IV[POSTAVA],IV[VSTUPY],0)," / ",_xlfn.XLOOKUP(KOMPLET[[#This Row],[POSTAVA]],IV[POSTAVA],IV[REPLIKY],0))</f>
        <v xml:space="preserve"> / </v>
      </c>
      <c r="F90" s="9" t="str">
        <f>_xlfn.CONCAT(_xlfn.XLOOKUP(KOMPLET[[#This Row],[POSTAVA]],V[POSTAVA],V[VSTUPY],0)," / ",_xlfn.XLOOKUP(KOMPLET[[#This Row],[POSTAVA]],V[POSTAVA],V[REPLIKY],0))</f>
        <v xml:space="preserve"> / </v>
      </c>
      <c r="G90" s="9" t="str">
        <f>_xlfn.CONCAT(_xlfn.XLOOKUP(KOMPLET[[#This Row],[POSTAVA]],VI[POSTAVA],VI[VSTUPY],0)," / ",_xlfn.XLOOKUP(KOMPLET[[#This Row],[POSTAVA]],VI[POSTAVA],VI[REPLIKY],0))</f>
        <v xml:space="preserve"> / </v>
      </c>
      <c r="I9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0" s="1"/>
    </row>
    <row r="91" spans="1:11" ht="17" x14ac:dyDescent="0.2">
      <c r="A91" s="20"/>
      <c r="B91" s="9" t="str">
        <f>_xlfn.CONCAT(_xlfn.XLOOKUP(KOMPLET[[#This Row],[POSTAVA]],I[POSTAVA],I[VSTUPY],0)," / ",_xlfn.XLOOKUP(KOMPLET[[#This Row],[POSTAVA]],I[POSTAVA],I[REPLIKY],0))</f>
        <v xml:space="preserve"> / </v>
      </c>
      <c r="C91" s="9" t="str">
        <f>_xlfn.CONCAT(_xlfn.XLOOKUP(KOMPLET[[#This Row],[POSTAVA]],II[POSTAVA],II[VSTUPY],0)," / ",_xlfn.XLOOKUP(KOMPLET[[#This Row],[POSTAVA]],II[POSTAVA],II[REPLIKY],0))</f>
        <v xml:space="preserve"> / </v>
      </c>
      <c r="D91" s="9" t="str">
        <f>_xlfn.CONCAT(_xlfn.XLOOKUP(KOMPLET[[#This Row],[POSTAVA]],III[POSTAVA],III[VSTUPY],0)," / ",_xlfn.XLOOKUP(KOMPLET[[#This Row],[POSTAVA]],III[POSTAVA],III[REPLIKY],0))</f>
        <v xml:space="preserve"> / </v>
      </c>
      <c r="E91" s="9" t="str">
        <f>_xlfn.CONCAT(_xlfn.XLOOKUP(KOMPLET[[#This Row],[POSTAVA]],IV[POSTAVA],IV[VSTUPY],0)," / ",_xlfn.XLOOKUP(KOMPLET[[#This Row],[POSTAVA]],IV[POSTAVA],IV[REPLIKY],0))</f>
        <v xml:space="preserve"> / </v>
      </c>
      <c r="F91" s="9" t="str">
        <f>_xlfn.CONCAT(_xlfn.XLOOKUP(KOMPLET[[#This Row],[POSTAVA]],V[POSTAVA],V[VSTUPY],0)," / ",_xlfn.XLOOKUP(KOMPLET[[#This Row],[POSTAVA]],V[POSTAVA],V[REPLIKY],0))</f>
        <v xml:space="preserve"> / </v>
      </c>
      <c r="G91" s="9" t="str">
        <f>_xlfn.CONCAT(_xlfn.XLOOKUP(KOMPLET[[#This Row],[POSTAVA]],VI[POSTAVA],VI[VSTUPY],0)," / ",_xlfn.XLOOKUP(KOMPLET[[#This Row],[POSTAVA]],VI[POSTAVA],VI[REPLIKY],0))</f>
        <v xml:space="preserve"> / </v>
      </c>
      <c r="I9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1" s="1"/>
    </row>
    <row r="92" spans="1:11" ht="17" x14ac:dyDescent="0.2">
      <c r="A92" s="26"/>
      <c r="B92" s="9" t="str">
        <f>_xlfn.CONCAT(_xlfn.XLOOKUP(KOMPLET[[#This Row],[POSTAVA]],I[POSTAVA],I[VSTUPY],0)," / ",_xlfn.XLOOKUP(KOMPLET[[#This Row],[POSTAVA]],I[POSTAVA],I[REPLIKY],0))</f>
        <v xml:space="preserve"> / </v>
      </c>
      <c r="C92" s="9" t="str">
        <f>_xlfn.CONCAT(_xlfn.XLOOKUP(KOMPLET[[#This Row],[POSTAVA]],II[POSTAVA],II[VSTUPY],0)," / ",_xlfn.XLOOKUP(KOMPLET[[#This Row],[POSTAVA]],II[POSTAVA],II[REPLIKY],0))</f>
        <v xml:space="preserve"> / </v>
      </c>
      <c r="D92" s="9" t="str">
        <f>_xlfn.CONCAT(_xlfn.XLOOKUP(KOMPLET[[#This Row],[POSTAVA]],III[POSTAVA],III[VSTUPY],0)," / ",_xlfn.XLOOKUP(KOMPLET[[#This Row],[POSTAVA]],III[POSTAVA],III[REPLIKY],0))</f>
        <v xml:space="preserve"> / </v>
      </c>
      <c r="E92" s="9" t="str">
        <f>_xlfn.CONCAT(_xlfn.XLOOKUP(KOMPLET[[#This Row],[POSTAVA]],IV[POSTAVA],IV[VSTUPY],0)," / ",_xlfn.XLOOKUP(KOMPLET[[#This Row],[POSTAVA]],IV[POSTAVA],IV[REPLIKY],0))</f>
        <v xml:space="preserve"> / </v>
      </c>
      <c r="F92" s="9" t="str">
        <f>_xlfn.CONCAT(_xlfn.XLOOKUP(KOMPLET[[#This Row],[POSTAVA]],V[POSTAVA],V[VSTUPY],0)," / ",_xlfn.XLOOKUP(KOMPLET[[#This Row],[POSTAVA]],V[POSTAVA],V[REPLIKY],0))</f>
        <v xml:space="preserve"> / </v>
      </c>
      <c r="G92" s="9" t="str">
        <f>_xlfn.CONCAT(_xlfn.XLOOKUP(KOMPLET[[#This Row],[POSTAVA]],VI[POSTAVA],VI[VSTUPY],0)," / ",_xlfn.XLOOKUP(KOMPLET[[#This Row],[POSTAVA]],VI[POSTAVA],VI[REPLIKY],0))</f>
        <v xml:space="preserve"> / </v>
      </c>
      <c r="I9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2" s="1"/>
    </row>
    <row r="93" spans="1:11" ht="17" x14ac:dyDescent="0.2">
      <c r="A93" s="20"/>
      <c r="B93" s="9" t="str">
        <f>_xlfn.CONCAT(_xlfn.XLOOKUP(KOMPLET[[#This Row],[POSTAVA]],I[POSTAVA],I[VSTUPY],0)," / ",_xlfn.XLOOKUP(KOMPLET[[#This Row],[POSTAVA]],I[POSTAVA],I[REPLIKY],0))</f>
        <v xml:space="preserve"> / </v>
      </c>
      <c r="C93" s="9" t="str">
        <f>_xlfn.CONCAT(_xlfn.XLOOKUP(KOMPLET[[#This Row],[POSTAVA]],II[POSTAVA],II[VSTUPY],0)," / ",_xlfn.XLOOKUP(KOMPLET[[#This Row],[POSTAVA]],II[POSTAVA],II[REPLIKY],0))</f>
        <v xml:space="preserve"> / </v>
      </c>
      <c r="D93" s="9" t="str">
        <f>_xlfn.CONCAT(_xlfn.XLOOKUP(KOMPLET[[#This Row],[POSTAVA]],III[POSTAVA],III[VSTUPY],0)," / ",_xlfn.XLOOKUP(KOMPLET[[#This Row],[POSTAVA]],III[POSTAVA],III[REPLIKY],0))</f>
        <v xml:space="preserve"> / </v>
      </c>
      <c r="E93" s="9" t="str">
        <f>_xlfn.CONCAT(_xlfn.XLOOKUP(KOMPLET[[#This Row],[POSTAVA]],IV[POSTAVA],IV[VSTUPY],0)," / ",_xlfn.XLOOKUP(KOMPLET[[#This Row],[POSTAVA]],IV[POSTAVA],IV[REPLIKY],0))</f>
        <v xml:space="preserve"> / </v>
      </c>
      <c r="F93" s="9" t="str">
        <f>_xlfn.CONCAT(_xlfn.XLOOKUP(KOMPLET[[#This Row],[POSTAVA]],V[POSTAVA],V[VSTUPY],0)," / ",_xlfn.XLOOKUP(KOMPLET[[#This Row],[POSTAVA]],V[POSTAVA],V[REPLIKY],0))</f>
        <v xml:space="preserve"> / </v>
      </c>
      <c r="G93" s="9" t="str">
        <f>_xlfn.CONCAT(_xlfn.XLOOKUP(KOMPLET[[#This Row],[POSTAVA]],VI[POSTAVA],VI[VSTUPY],0)," / ",_xlfn.XLOOKUP(KOMPLET[[#This Row],[POSTAVA]],VI[POSTAVA],VI[REPLIKY],0))</f>
        <v xml:space="preserve"> / </v>
      </c>
      <c r="I9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3" s="1"/>
    </row>
    <row r="94" spans="1:11" ht="17" x14ac:dyDescent="0.2">
      <c r="A94" s="20"/>
      <c r="B94" s="9" t="str">
        <f>_xlfn.CONCAT(_xlfn.XLOOKUP(KOMPLET[[#This Row],[POSTAVA]],I[POSTAVA],I[VSTUPY],0)," / ",_xlfn.XLOOKUP(KOMPLET[[#This Row],[POSTAVA]],I[POSTAVA],I[REPLIKY],0))</f>
        <v xml:space="preserve"> / </v>
      </c>
      <c r="C94" s="9" t="str">
        <f>_xlfn.CONCAT(_xlfn.XLOOKUP(KOMPLET[[#This Row],[POSTAVA]],II[POSTAVA],II[VSTUPY],0)," / ",_xlfn.XLOOKUP(KOMPLET[[#This Row],[POSTAVA]],II[POSTAVA],II[REPLIKY],0))</f>
        <v xml:space="preserve"> / </v>
      </c>
      <c r="D94" s="9" t="str">
        <f>_xlfn.CONCAT(_xlfn.XLOOKUP(KOMPLET[[#This Row],[POSTAVA]],III[POSTAVA],III[VSTUPY],0)," / ",_xlfn.XLOOKUP(KOMPLET[[#This Row],[POSTAVA]],III[POSTAVA],III[REPLIKY],0))</f>
        <v xml:space="preserve"> / </v>
      </c>
      <c r="E94" s="9" t="str">
        <f>_xlfn.CONCAT(_xlfn.XLOOKUP(KOMPLET[[#This Row],[POSTAVA]],IV[POSTAVA],IV[VSTUPY],0)," / ",_xlfn.XLOOKUP(KOMPLET[[#This Row],[POSTAVA]],IV[POSTAVA],IV[REPLIKY],0))</f>
        <v xml:space="preserve"> / </v>
      </c>
      <c r="F94" s="9" t="str">
        <f>_xlfn.CONCAT(_xlfn.XLOOKUP(KOMPLET[[#This Row],[POSTAVA]],V[POSTAVA],V[VSTUPY],0)," / ",_xlfn.XLOOKUP(KOMPLET[[#This Row],[POSTAVA]],V[POSTAVA],V[REPLIKY],0))</f>
        <v xml:space="preserve"> / </v>
      </c>
      <c r="G94" s="9" t="str">
        <f>_xlfn.CONCAT(_xlfn.XLOOKUP(KOMPLET[[#This Row],[POSTAVA]],VI[POSTAVA],VI[VSTUPY],0)," / ",_xlfn.XLOOKUP(KOMPLET[[#This Row],[POSTAVA]],VI[POSTAVA],VI[REPLIKY],0))</f>
        <v xml:space="preserve"> / </v>
      </c>
      <c r="I9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4" s="1"/>
    </row>
    <row r="95" spans="1:11" ht="17" x14ac:dyDescent="0.2">
      <c r="A95" s="20"/>
      <c r="B95" s="9" t="str">
        <f>_xlfn.CONCAT(_xlfn.XLOOKUP(KOMPLET[[#This Row],[POSTAVA]],I[POSTAVA],I[VSTUPY],0)," / ",_xlfn.XLOOKUP(KOMPLET[[#This Row],[POSTAVA]],I[POSTAVA],I[REPLIKY],0))</f>
        <v xml:space="preserve"> / </v>
      </c>
      <c r="C95" s="9" t="str">
        <f>_xlfn.CONCAT(_xlfn.XLOOKUP(KOMPLET[[#This Row],[POSTAVA]],II[POSTAVA],II[VSTUPY],0)," / ",_xlfn.XLOOKUP(KOMPLET[[#This Row],[POSTAVA]],II[POSTAVA],II[REPLIKY],0))</f>
        <v xml:space="preserve"> / </v>
      </c>
      <c r="D95" s="9" t="str">
        <f>_xlfn.CONCAT(_xlfn.XLOOKUP(KOMPLET[[#This Row],[POSTAVA]],III[POSTAVA],III[VSTUPY],0)," / ",_xlfn.XLOOKUP(KOMPLET[[#This Row],[POSTAVA]],III[POSTAVA],III[REPLIKY],0))</f>
        <v xml:space="preserve"> / </v>
      </c>
      <c r="E95" s="9" t="str">
        <f>_xlfn.CONCAT(_xlfn.XLOOKUP(KOMPLET[[#This Row],[POSTAVA]],IV[POSTAVA],IV[VSTUPY],0)," / ",_xlfn.XLOOKUP(KOMPLET[[#This Row],[POSTAVA]],IV[POSTAVA],IV[REPLIKY],0))</f>
        <v xml:space="preserve"> / </v>
      </c>
      <c r="F95" s="9" t="str">
        <f>_xlfn.CONCAT(_xlfn.XLOOKUP(KOMPLET[[#This Row],[POSTAVA]],V[POSTAVA],V[VSTUPY],0)," / ",_xlfn.XLOOKUP(KOMPLET[[#This Row],[POSTAVA]],V[POSTAVA],V[REPLIKY],0))</f>
        <v xml:space="preserve"> / </v>
      </c>
      <c r="G95" s="9" t="str">
        <f>_xlfn.CONCAT(_xlfn.XLOOKUP(KOMPLET[[#This Row],[POSTAVA]],VI[POSTAVA],VI[VSTUPY],0)," / ",_xlfn.XLOOKUP(KOMPLET[[#This Row],[POSTAVA]],VI[POSTAVA],VI[REPLIKY],0))</f>
        <v xml:space="preserve"> / </v>
      </c>
      <c r="H95" s="20"/>
      <c r="I9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5" s="1"/>
    </row>
    <row r="96" spans="1:11" ht="17" x14ac:dyDescent="0.2">
      <c r="A96" s="20"/>
      <c r="B96" s="9" t="str">
        <f>_xlfn.CONCAT(_xlfn.XLOOKUP(KOMPLET[[#This Row],[POSTAVA]],I[POSTAVA],I[VSTUPY],0)," / ",_xlfn.XLOOKUP(KOMPLET[[#This Row],[POSTAVA]],I[POSTAVA],I[REPLIKY],0))</f>
        <v xml:space="preserve"> / </v>
      </c>
      <c r="C96" s="9" t="str">
        <f>_xlfn.CONCAT(_xlfn.XLOOKUP(KOMPLET[[#This Row],[POSTAVA]],II[POSTAVA],II[VSTUPY],0)," / ",_xlfn.XLOOKUP(KOMPLET[[#This Row],[POSTAVA]],II[POSTAVA],II[REPLIKY],0))</f>
        <v xml:space="preserve"> / </v>
      </c>
      <c r="D96" s="9" t="str">
        <f>_xlfn.CONCAT(_xlfn.XLOOKUP(KOMPLET[[#This Row],[POSTAVA]],III[POSTAVA],III[VSTUPY],0)," / ",_xlfn.XLOOKUP(KOMPLET[[#This Row],[POSTAVA]],III[POSTAVA],III[REPLIKY],0))</f>
        <v xml:space="preserve"> / </v>
      </c>
      <c r="E96" s="9" t="str">
        <f>_xlfn.CONCAT(_xlfn.XLOOKUP(KOMPLET[[#This Row],[POSTAVA]],IV[POSTAVA],IV[VSTUPY],0)," / ",_xlfn.XLOOKUP(KOMPLET[[#This Row],[POSTAVA]],IV[POSTAVA],IV[REPLIKY],0))</f>
        <v xml:space="preserve"> / </v>
      </c>
      <c r="F96" s="9" t="str">
        <f>_xlfn.CONCAT(_xlfn.XLOOKUP(KOMPLET[[#This Row],[POSTAVA]],V[POSTAVA],V[VSTUPY],0)," / ",_xlfn.XLOOKUP(KOMPLET[[#This Row],[POSTAVA]],V[POSTAVA],V[REPLIKY],0))</f>
        <v xml:space="preserve"> / </v>
      </c>
      <c r="G96" s="9" t="str">
        <f>_xlfn.CONCAT(_xlfn.XLOOKUP(KOMPLET[[#This Row],[POSTAVA]],VI[POSTAVA],VI[VSTUPY],0)," / ",_xlfn.XLOOKUP(KOMPLET[[#This Row],[POSTAVA]],VI[POSTAVA],VI[REPLIKY],0))</f>
        <v xml:space="preserve"> / </v>
      </c>
      <c r="I9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6" s="1"/>
    </row>
    <row r="97" spans="1:11" ht="17" x14ac:dyDescent="0.2">
      <c r="A97" s="20"/>
      <c r="B97" s="9" t="str">
        <f>_xlfn.CONCAT(_xlfn.XLOOKUP(KOMPLET[[#This Row],[POSTAVA]],I[POSTAVA],I[VSTUPY],0)," / ",_xlfn.XLOOKUP(KOMPLET[[#This Row],[POSTAVA]],I[POSTAVA],I[REPLIKY],0))</f>
        <v xml:space="preserve"> / </v>
      </c>
      <c r="C97" s="9" t="str">
        <f>_xlfn.CONCAT(_xlfn.XLOOKUP(KOMPLET[[#This Row],[POSTAVA]],II[POSTAVA],II[VSTUPY],0)," / ",_xlfn.XLOOKUP(KOMPLET[[#This Row],[POSTAVA]],II[POSTAVA],II[REPLIKY],0))</f>
        <v xml:space="preserve"> / </v>
      </c>
      <c r="D97" s="9" t="str">
        <f>_xlfn.CONCAT(_xlfn.XLOOKUP(KOMPLET[[#This Row],[POSTAVA]],III[POSTAVA],III[VSTUPY],0)," / ",_xlfn.XLOOKUP(KOMPLET[[#This Row],[POSTAVA]],III[POSTAVA],III[REPLIKY],0))</f>
        <v xml:space="preserve"> / </v>
      </c>
      <c r="E97" s="9" t="str">
        <f>_xlfn.CONCAT(_xlfn.XLOOKUP(KOMPLET[[#This Row],[POSTAVA]],IV[POSTAVA],IV[VSTUPY],0)," / ",_xlfn.XLOOKUP(KOMPLET[[#This Row],[POSTAVA]],IV[POSTAVA],IV[REPLIKY],0))</f>
        <v xml:space="preserve"> / </v>
      </c>
      <c r="F97" s="9" t="str">
        <f>_xlfn.CONCAT(_xlfn.XLOOKUP(KOMPLET[[#This Row],[POSTAVA]],V[POSTAVA],V[VSTUPY],0)," / ",_xlfn.XLOOKUP(KOMPLET[[#This Row],[POSTAVA]],V[POSTAVA],V[REPLIKY],0))</f>
        <v xml:space="preserve"> / </v>
      </c>
      <c r="G97" s="9" t="str">
        <f>_xlfn.CONCAT(_xlfn.XLOOKUP(KOMPLET[[#This Row],[POSTAVA]],VI[POSTAVA],VI[VSTUPY],0)," / ",_xlfn.XLOOKUP(KOMPLET[[#This Row],[POSTAVA]],VI[POSTAVA],VI[REPLIKY],0))</f>
        <v xml:space="preserve"> / </v>
      </c>
      <c r="I9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7" s="1"/>
    </row>
    <row r="98" spans="1:11" ht="17" x14ac:dyDescent="0.2">
      <c r="A98" s="20"/>
      <c r="B98" s="9" t="str">
        <f>_xlfn.CONCAT(_xlfn.XLOOKUP(KOMPLET[[#This Row],[POSTAVA]],I[POSTAVA],I[VSTUPY],0)," / ",_xlfn.XLOOKUP(KOMPLET[[#This Row],[POSTAVA]],I[POSTAVA],I[REPLIKY],0))</f>
        <v xml:space="preserve"> / </v>
      </c>
      <c r="C98" s="9" t="str">
        <f>_xlfn.CONCAT(_xlfn.XLOOKUP(KOMPLET[[#This Row],[POSTAVA]],II[POSTAVA],II[VSTUPY],0)," / ",_xlfn.XLOOKUP(KOMPLET[[#This Row],[POSTAVA]],II[POSTAVA],II[REPLIKY],0))</f>
        <v xml:space="preserve"> / </v>
      </c>
      <c r="D98" s="9" t="str">
        <f>_xlfn.CONCAT(_xlfn.XLOOKUP(KOMPLET[[#This Row],[POSTAVA]],III[POSTAVA],III[VSTUPY],0)," / ",_xlfn.XLOOKUP(KOMPLET[[#This Row],[POSTAVA]],III[POSTAVA],III[REPLIKY],0))</f>
        <v xml:space="preserve"> / </v>
      </c>
      <c r="E98" s="9" t="str">
        <f>_xlfn.CONCAT(_xlfn.XLOOKUP(KOMPLET[[#This Row],[POSTAVA]],IV[POSTAVA],IV[VSTUPY],0)," / ",_xlfn.XLOOKUP(KOMPLET[[#This Row],[POSTAVA]],IV[POSTAVA],IV[REPLIKY],0))</f>
        <v xml:space="preserve"> / </v>
      </c>
      <c r="F98" s="9" t="str">
        <f>_xlfn.CONCAT(_xlfn.XLOOKUP(KOMPLET[[#This Row],[POSTAVA]],V[POSTAVA],V[VSTUPY],0)," / ",_xlfn.XLOOKUP(KOMPLET[[#This Row],[POSTAVA]],V[POSTAVA],V[REPLIKY],0))</f>
        <v xml:space="preserve"> / </v>
      </c>
      <c r="G98" s="9" t="str">
        <f>_xlfn.CONCAT(_xlfn.XLOOKUP(KOMPLET[[#This Row],[POSTAVA]],VI[POSTAVA],VI[VSTUPY],0)," / ",_xlfn.XLOOKUP(KOMPLET[[#This Row],[POSTAVA]],VI[POSTAVA],VI[REPLIKY],0))</f>
        <v xml:space="preserve"> / </v>
      </c>
      <c r="I9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8" s="1"/>
    </row>
    <row r="99" spans="1:11" ht="17" x14ac:dyDescent="0.2">
      <c r="A99" s="20"/>
      <c r="B99" s="9" t="str">
        <f>_xlfn.CONCAT(_xlfn.XLOOKUP(KOMPLET[[#This Row],[POSTAVA]],I[POSTAVA],I[VSTUPY],0)," / ",_xlfn.XLOOKUP(KOMPLET[[#This Row],[POSTAVA]],I[POSTAVA],I[REPLIKY],0))</f>
        <v xml:space="preserve"> / </v>
      </c>
      <c r="C99" s="9" t="str">
        <f>_xlfn.CONCAT(_xlfn.XLOOKUP(KOMPLET[[#This Row],[POSTAVA]],II[POSTAVA],II[VSTUPY],0)," / ",_xlfn.XLOOKUP(KOMPLET[[#This Row],[POSTAVA]],II[POSTAVA],II[REPLIKY],0))</f>
        <v xml:space="preserve"> / </v>
      </c>
      <c r="D99" s="9" t="str">
        <f>_xlfn.CONCAT(_xlfn.XLOOKUP(KOMPLET[[#This Row],[POSTAVA]],III[POSTAVA],III[VSTUPY],0)," / ",_xlfn.XLOOKUP(KOMPLET[[#This Row],[POSTAVA]],III[POSTAVA],III[REPLIKY],0))</f>
        <v xml:space="preserve"> / </v>
      </c>
      <c r="E99" s="9" t="str">
        <f>_xlfn.CONCAT(_xlfn.XLOOKUP(KOMPLET[[#This Row],[POSTAVA]],IV[POSTAVA],IV[VSTUPY],0)," / ",_xlfn.XLOOKUP(KOMPLET[[#This Row],[POSTAVA]],IV[POSTAVA],IV[REPLIKY],0))</f>
        <v xml:space="preserve"> / </v>
      </c>
      <c r="F99" s="9" t="str">
        <f>_xlfn.CONCAT(_xlfn.XLOOKUP(KOMPLET[[#This Row],[POSTAVA]],V[POSTAVA],V[VSTUPY],0)," / ",_xlfn.XLOOKUP(KOMPLET[[#This Row],[POSTAVA]],V[POSTAVA],V[REPLIKY],0))</f>
        <v xml:space="preserve"> / </v>
      </c>
      <c r="G99" s="9" t="str">
        <f>_xlfn.CONCAT(_xlfn.XLOOKUP(KOMPLET[[#This Row],[POSTAVA]],VI[POSTAVA],VI[VSTUPY],0)," / ",_xlfn.XLOOKUP(KOMPLET[[#This Row],[POSTAVA]],VI[POSTAVA],VI[REPLIKY],0))</f>
        <v xml:space="preserve"> / </v>
      </c>
      <c r="I9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9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99" s="1"/>
    </row>
    <row r="100" spans="1:11" ht="17" x14ac:dyDescent="0.2">
      <c r="A100" s="20"/>
      <c r="B100" s="9" t="str">
        <f>_xlfn.CONCAT(_xlfn.XLOOKUP(KOMPLET[[#This Row],[POSTAVA]],I[POSTAVA],I[VSTUPY],0)," / ",_xlfn.XLOOKUP(KOMPLET[[#This Row],[POSTAVA]],I[POSTAVA],I[REPLIKY],0))</f>
        <v xml:space="preserve"> / </v>
      </c>
      <c r="C100" s="9" t="str">
        <f>_xlfn.CONCAT(_xlfn.XLOOKUP(KOMPLET[[#This Row],[POSTAVA]],II[POSTAVA],II[VSTUPY],0)," / ",_xlfn.XLOOKUP(KOMPLET[[#This Row],[POSTAVA]],II[POSTAVA],II[REPLIKY],0))</f>
        <v xml:space="preserve"> / </v>
      </c>
      <c r="D100" s="9" t="str">
        <f>_xlfn.CONCAT(_xlfn.XLOOKUP(KOMPLET[[#This Row],[POSTAVA]],III[POSTAVA],III[VSTUPY],0)," / ",_xlfn.XLOOKUP(KOMPLET[[#This Row],[POSTAVA]],III[POSTAVA],III[REPLIKY],0))</f>
        <v xml:space="preserve"> / </v>
      </c>
      <c r="E100" s="9" t="str">
        <f>_xlfn.CONCAT(_xlfn.XLOOKUP(KOMPLET[[#This Row],[POSTAVA]],IV[POSTAVA],IV[VSTUPY],0)," / ",_xlfn.XLOOKUP(KOMPLET[[#This Row],[POSTAVA]],IV[POSTAVA],IV[REPLIKY],0))</f>
        <v xml:space="preserve"> / </v>
      </c>
      <c r="F100" s="9" t="str">
        <f>_xlfn.CONCAT(_xlfn.XLOOKUP(KOMPLET[[#This Row],[POSTAVA]],V[POSTAVA],V[VSTUPY],0)," / ",_xlfn.XLOOKUP(KOMPLET[[#This Row],[POSTAVA]],V[POSTAVA],V[REPLIKY],0))</f>
        <v xml:space="preserve"> / </v>
      </c>
      <c r="G100" s="9" t="str">
        <f>_xlfn.CONCAT(_xlfn.XLOOKUP(KOMPLET[[#This Row],[POSTAVA]],VI[POSTAVA],VI[VSTUPY],0)," / ",_xlfn.XLOOKUP(KOMPLET[[#This Row],[POSTAVA]],VI[POSTAVA],VI[REPLIKY],0))</f>
        <v xml:space="preserve"> / </v>
      </c>
      <c r="I10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0" s="1"/>
    </row>
    <row r="101" spans="1:11" ht="17" x14ac:dyDescent="0.2">
      <c r="A101" s="20"/>
      <c r="B101" s="9" t="str">
        <f>_xlfn.CONCAT(_xlfn.XLOOKUP(KOMPLET[[#This Row],[POSTAVA]],I[POSTAVA],I[VSTUPY],0)," / ",_xlfn.XLOOKUP(KOMPLET[[#This Row],[POSTAVA]],I[POSTAVA],I[REPLIKY],0))</f>
        <v xml:space="preserve"> / </v>
      </c>
      <c r="C101" s="9" t="str">
        <f>_xlfn.CONCAT(_xlfn.XLOOKUP(KOMPLET[[#This Row],[POSTAVA]],II[POSTAVA],II[VSTUPY],0)," / ",_xlfn.XLOOKUP(KOMPLET[[#This Row],[POSTAVA]],II[POSTAVA],II[REPLIKY],0))</f>
        <v xml:space="preserve"> / </v>
      </c>
      <c r="D101" s="9" t="str">
        <f>_xlfn.CONCAT(_xlfn.XLOOKUP(KOMPLET[[#This Row],[POSTAVA]],III[POSTAVA],III[VSTUPY],0)," / ",_xlfn.XLOOKUP(KOMPLET[[#This Row],[POSTAVA]],III[POSTAVA],III[REPLIKY],0))</f>
        <v xml:space="preserve"> / </v>
      </c>
      <c r="E101" s="9" t="str">
        <f>_xlfn.CONCAT(_xlfn.XLOOKUP(KOMPLET[[#This Row],[POSTAVA]],IV[POSTAVA],IV[VSTUPY],0)," / ",_xlfn.XLOOKUP(KOMPLET[[#This Row],[POSTAVA]],IV[POSTAVA],IV[REPLIKY],0))</f>
        <v xml:space="preserve"> / </v>
      </c>
      <c r="F101" s="9" t="str">
        <f>_xlfn.CONCAT(_xlfn.XLOOKUP(KOMPLET[[#This Row],[POSTAVA]],V[POSTAVA],V[VSTUPY],0)," / ",_xlfn.XLOOKUP(KOMPLET[[#This Row],[POSTAVA]],V[POSTAVA],V[REPLIKY],0))</f>
        <v xml:space="preserve"> / </v>
      </c>
      <c r="G101" s="9" t="str">
        <f>_xlfn.CONCAT(_xlfn.XLOOKUP(KOMPLET[[#This Row],[POSTAVA]],VI[POSTAVA],VI[VSTUPY],0)," / ",_xlfn.XLOOKUP(KOMPLET[[#This Row],[POSTAVA]],VI[POSTAVA],VI[REPLIKY],0))</f>
        <v xml:space="preserve"> / </v>
      </c>
      <c r="I101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1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1" s="6"/>
    </row>
    <row r="102" spans="1:11" ht="17" x14ac:dyDescent="0.2">
      <c r="A102" s="20"/>
      <c r="B102" s="9" t="str">
        <f>_xlfn.CONCAT(_xlfn.XLOOKUP(KOMPLET[[#This Row],[POSTAVA]],I[POSTAVA],I[VSTUPY],0)," / ",_xlfn.XLOOKUP(KOMPLET[[#This Row],[POSTAVA]],I[POSTAVA],I[REPLIKY],0))</f>
        <v xml:space="preserve"> / </v>
      </c>
      <c r="C102" s="9" t="str">
        <f>_xlfn.CONCAT(_xlfn.XLOOKUP(KOMPLET[[#This Row],[POSTAVA]],II[POSTAVA],II[VSTUPY],0)," / ",_xlfn.XLOOKUP(KOMPLET[[#This Row],[POSTAVA]],II[POSTAVA],II[REPLIKY],0))</f>
        <v xml:space="preserve"> / </v>
      </c>
      <c r="D102" s="9" t="str">
        <f>_xlfn.CONCAT(_xlfn.XLOOKUP(KOMPLET[[#This Row],[POSTAVA]],III[POSTAVA],III[VSTUPY],0)," / ",_xlfn.XLOOKUP(KOMPLET[[#This Row],[POSTAVA]],III[POSTAVA],III[REPLIKY],0))</f>
        <v xml:space="preserve"> / </v>
      </c>
      <c r="E102" s="9" t="str">
        <f>_xlfn.CONCAT(_xlfn.XLOOKUP(KOMPLET[[#This Row],[POSTAVA]],IV[POSTAVA],IV[VSTUPY],0)," / ",_xlfn.XLOOKUP(KOMPLET[[#This Row],[POSTAVA]],IV[POSTAVA],IV[REPLIKY],0))</f>
        <v xml:space="preserve"> / </v>
      </c>
      <c r="F102" s="9" t="str">
        <f>_xlfn.CONCAT(_xlfn.XLOOKUP(KOMPLET[[#This Row],[POSTAVA]],V[POSTAVA],V[VSTUPY],0)," / ",_xlfn.XLOOKUP(KOMPLET[[#This Row],[POSTAVA]],V[POSTAVA],V[REPLIKY],0))</f>
        <v xml:space="preserve"> / </v>
      </c>
      <c r="G102" s="9" t="str">
        <f>_xlfn.CONCAT(_xlfn.XLOOKUP(KOMPLET[[#This Row],[POSTAVA]],VI[POSTAVA],VI[VSTUPY],0)," / ",_xlfn.XLOOKUP(KOMPLET[[#This Row],[POSTAVA]],VI[POSTAVA],VI[REPLIKY],0))</f>
        <v xml:space="preserve"> / </v>
      </c>
      <c r="I102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2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2" s="1"/>
    </row>
    <row r="103" spans="1:11" ht="17" x14ac:dyDescent="0.2">
      <c r="A103" s="20"/>
      <c r="B103" s="9" t="str">
        <f>_xlfn.CONCAT(_xlfn.XLOOKUP(KOMPLET[[#This Row],[POSTAVA]],I[POSTAVA],I[VSTUPY],0)," / ",_xlfn.XLOOKUP(KOMPLET[[#This Row],[POSTAVA]],I[POSTAVA],I[REPLIKY],0))</f>
        <v xml:space="preserve"> / </v>
      </c>
      <c r="C103" s="9" t="str">
        <f>_xlfn.CONCAT(_xlfn.XLOOKUP(KOMPLET[[#This Row],[POSTAVA]],II[POSTAVA],II[VSTUPY],0)," / ",_xlfn.XLOOKUP(KOMPLET[[#This Row],[POSTAVA]],II[POSTAVA],II[REPLIKY],0))</f>
        <v xml:space="preserve"> / </v>
      </c>
      <c r="D103" s="9" t="str">
        <f>_xlfn.CONCAT(_xlfn.XLOOKUP(KOMPLET[[#This Row],[POSTAVA]],III[POSTAVA],III[VSTUPY],0)," / ",_xlfn.XLOOKUP(KOMPLET[[#This Row],[POSTAVA]],III[POSTAVA],III[REPLIKY],0))</f>
        <v xml:space="preserve"> / </v>
      </c>
      <c r="E103" s="9" t="str">
        <f>_xlfn.CONCAT(_xlfn.XLOOKUP(KOMPLET[[#This Row],[POSTAVA]],IV[POSTAVA],IV[VSTUPY],0)," / ",_xlfn.XLOOKUP(KOMPLET[[#This Row],[POSTAVA]],IV[POSTAVA],IV[REPLIKY],0))</f>
        <v xml:space="preserve"> / </v>
      </c>
      <c r="F103" s="9" t="str">
        <f>_xlfn.CONCAT(_xlfn.XLOOKUP(KOMPLET[[#This Row],[POSTAVA]],V[POSTAVA],V[VSTUPY],0)," / ",_xlfn.XLOOKUP(KOMPLET[[#This Row],[POSTAVA]],V[POSTAVA],V[REPLIKY],0))</f>
        <v xml:space="preserve"> / </v>
      </c>
      <c r="G103" s="9" t="str">
        <f>_xlfn.CONCAT(_xlfn.XLOOKUP(KOMPLET[[#This Row],[POSTAVA]],VI[POSTAVA],VI[VSTUPY],0)," / ",_xlfn.XLOOKUP(KOMPLET[[#This Row],[POSTAVA]],VI[POSTAVA],VI[REPLIKY],0))</f>
        <v xml:space="preserve"> / </v>
      </c>
      <c r="I103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3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3" s="1"/>
    </row>
    <row r="104" spans="1:11" ht="17" x14ac:dyDescent="0.2">
      <c r="A104" s="20"/>
      <c r="B104" s="9" t="str">
        <f>_xlfn.CONCAT(_xlfn.XLOOKUP(KOMPLET[[#This Row],[POSTAVA]],I[POSTAVA],I[VSTUPY],0)," / ",_xlfn.XLOOKUP(KOMPLET[[#This Row],[POSTAVA]],I[POSTAVA],I[REPLIKY],0))</f>
        <v xml:space="preserve"> / </v>
      </c>
      <c r="C104" s="9" t="str">
        <f>_xlfn.CONCAT(_xlfn.XLOOKUP(KOMPLET[[#This Row],[POSTAVA]],II[POSTAVA],II[VSTUPY],0)," / ",_xlfn.XLOOKUP(KOMPLET[[#This Row],[POSTAVA]],II[POSTAVA],II[REPLIKY],0))</f>
        <v xml:space="preserve"> / </v>
      </c>
      <c r="D104" s="9" t="str">
        <f>_xlfn.CONCAT(_xlfn.XLOOKUP(KOMPLET[[#This Row],[POSTAVA]],III[POSTAVA],III[VSTUPY],0)," / ",_xlfn.XLOOKUP(KOMPLET[[#This Row],[POSTAVA]],III[POSTAVA],III[REPLIKY],0))</f>
        <v xml:space="preserve"> / </v>
      </c>
      <c r="E104" s="9" t="str">
        <f>_xlfn.CONCAT(_xlfn.XLOOKUP(KOMPLET[[#This Row],[POSTAVA]],IV[POSTAVA],IV[VSTUPY],0)," / ",_xlfn.XLOOKUP(KOMPLET[[#This Row],[POSTAVA]],IV[POSTAVA],IV[REPLIKY],0))</f>
        <v xml:space="preserve"> / </v>
      </c>
      <c r="F104" s="9" t="str">
        <f>_xlfn.CONCAT(_xlfn.XLOOKUP(KOMPLET[[#This Row],[POSTAVA]],V[POSTAVA],V[VSTUPY],0)," / ",_xlfn.XLOOKUP(KOMPLET[[#This Row],[POSTAVA]],V[POSTAVA],V[REPLIKY],0))</f>
        <v xml:space="preserve"> / </v>
      </c>
      <c r="G104" s="9" t="str">
        <f>_xlfn.CONCAT(_xlfn.XLOOKUP(KOMPLET[[#This Row],[POSTAVA]],VI[POSTAVA],VI[VSTUPY],0)," / ",_xlfn.XLOOKUP(KOMPLET[[#This Row],[POSTAVA]],VI[POSTAVA],VI[REPLIKY],0))</f>
        <v xml:space="preserve"> / </v>
      </c>
      <c r="H104" s="20"/>
      <c r="I104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4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4" s="1"/>
    </row>
    <row r="105" spans="1:11" ht="17" x14ac:dyDescent="0.2">
      <c r="A105" s="20"/>
      <c r="B105" s="9" t="str">
        <f>_xlfn.CONCAT(_xlfn.XLOOKUP(KOMPLET[[#This Row],[POSTAVA]],I[POSTAVA],I[VSTUPY],0)," / ",_xlfn.XLOOKUP(KOMPLET[[#This Row],[POSTAVA]],I[POSTAVA],I[REPLIKY],0))</f>
        <v xml:space="preserve"> / </v>
      </c>
      <c r="C105" s="9" t="str">
        <f>_xlfn.CONCAT(_xlfn.XLOOKUP(KOMPLET[[#This Row],[POSTAVA]],II[POSTAVA],II[VSTUPY],0)," / ",_xlfn.XLOOKUP(KOMPLET[[#This Row],[POSTAVA]],II[POSTAVA],II[REPLIKY],0))</f>
        <v xml:space="preserve"> / </v>
      </c>
      <c r="D105" s="9" t="str">
        <f>_xlfn.CONCAT(_xlfn.XLOOKUP(KOMPLET[[#This Row],[POSTAVA]],III[POSTAVA],III[VSTUPY],0)," / ",_xlfn.XLOOKUP(KOMPLET[[#This Row],[POSTAVA]],III[POSTAVA],III[REPLIKY],0))</f>
        <v xml:space="preserve"> / </v>
      </c>
      <c r="E105" s="9" t="str">
        <f>_xlfn.CONCAT(_xlfn.XLOOKUP(KOMPLET[[#This Row],[POSTAVA]],IV[POSTAVA],IV[VSTUPY],0)," / ",_xlfn.XLOOKUP(KOMPLET[[#This Row],[POSTAVA]],IV[POSTAVA],IV[REPLIKY],0))</f>
        <v xml:space="preserve"> / </v>
      </c>
      <c r="F105" s="9" t="str">
        <f>_xlfn.CONCAT(_xlfn.XLOOKUP(KOMPLET[[#This Row],[POSTAVA]],V[POSTAVA],V[VSTUPY],0)," / ",_xlfn.XLOOKUP(KOMPLET[[#This Row],[POSTAVA]],V[POSTAVA],V[REPLIKY],0))</f>
        <v xml:space="preserve"> / </v>
      </c>
      <c r="G105" s="9" t="str">
        <f>_xlfn.CONCAT(_xlfn.XLOOKUP(KOMPLET[[#This Row],[POSTAVA]],VI[POSTAVA],VI[VSTUPY],0)," / ",_xlfn.XLOOKUP(KOMPLET[[#This Row],[POSTAVA]],VI[POSTAVA],VI[REPLIKY],0))</f>
        <v xml:space="preserve"> / </v>
      </c>
      <c r="I105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5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5" s="1"/>
    </row>
    <row r="106" spans="1:11" ht="17" x14ac:dyDescent="0.2">
      <c r="A106" s="20"/>
      <c r="B106" s="9" t="str">
        <f>_xlfn.CONCAT(_xlfn.XLOOKUP(KOMPLET[[#This Row],[POSTAVA]],I[POSTAVA],I[VSTUPY],0)," / ",_xlfn.XLOOKUP(KOMPLET[[#This Row],[POSTAVA]],I[POSTAVA],I[REPLIKY],0))</f>
        <v xml:space="preserve"> / </v>
      </c>
      <c r="C106" s="9" t="str">
        <f>_xlfn.CONCAT(_xlfn.XLOOKUP(KOMPLET[[#This Row],[POSTAVA]],II[POSTAVA],II[VSTUPY],0)," / ",_xlfn.XLOOKUP(KOMPLET[[#This Row],[POSTAVA]],II[POSTAVA],II[REPLIKY],0))</f>
        <v xml:space="preserve"> / </v>
      </c>
      <c r="D106" s="9" t="str">
        <f>_xlfn.CONCAT(_xlfn.XLOOKUP(KOMPLET[[#This Row],[POSTAVA]],III[POSTAVA],III[VSTUPY],0)," / ",_xlfn.XLOOKUP(KOMPLET[[#This Row],[POSTAVA]],III[POSTAVA],III[REPLIKY],0))</f>
        <v xml:space="preserve"> / </v>
      </c>
      <c r="E106" s="9" t="str">
        <f>_xlfn.CONCAT(_xlfn.XLOOKUP(KOMPLET[[#This Row],[POSTAVA]],IV[POSTAVA],IV[VSTUPY],0)," / ",_xlfn.XLOOKUP(KOMPLET[[#This Row],[POSTAVA]],IV[POSTAVA],IV[REPLIKY],0))</f>
        <v xml:space="preserve"> / </v>
      </c>
      <c r="F106" s="9" t="str">
        <f>_xlfn.CONCAT(_xlfn.XLOOKUP(KOMPLET[[#This Row],[POSTAVA]],V[POSTAVA],V[VSTUPY],0)," / ",_xlfn.XLOOKUP(KOMPLET[[#This Row],[POSTAVA]],V[POSTAVA],V[REPLIKY],0))</f>
        <v xml:space="preserve"> / </v>
      </c>
      <c r="G106" s="9" t="str">
        <f>_xlfn.CONCAT(_xlfn.XLOOKUP(KOMPLET[[#This Row],[POSTAVA]],VI[POSTAVA],VI[VSTUPY],0)," / ",_xlfn.XLOOKUP(KOMPLET[[#This Row],[POSTAVA]],VI[POSTAVA],VI[REPLIKY],0))</f>
        <v xml:space="preserve"> / </v>
      </c>
      <c r="I106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6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6" s="1"/>
    </row>
    <row r="107" spans="1:11" ht="17" x14ac:dyDescent="0.2">
      <c r="A107" s="20"/>
      <c r="B107" s="9" t="str">
        <f>_xlfn.CONCAT(_xlfn.XLOOKUP(KOMPLET[[#This Row],[POSTAVA]],I[POSTAVA],I[VSTUPY],0)," / ",_xlfn.XLOOKUP(KOMPLET[[#This Row],[POSTAVA]],I[POSTAVA],I[REPLIKY],0))</f>
        <v xml:space="preserve"> / </v>
      </c>
      <c r="C107" s="9" t="str">
        <f>_xlfn.CONCAT(_xlfn.XLOOKUP(KOMPLET[[#This Row],[POSTAVA]],II[POSTAVA],II[VSTUPY],0)," / ",_xlfn.XLOOKUP(KOMPLET[[#This Row],[POSTAVA]],II[POSTAVA],II[REPLIKY],0))</f>
        <v xml:space="preserve"> / </v>
      </c>
      <c r="D107" s="9" t="str">
        <f>_xlfn.CONCAT(_xlfn.XLOOKUP(KOMPLET[[#This Row],[POSTAVA]],III[POSTAVA],III[VSTUPY],0)," / ",_xlfn.XLOOKUP(KOMPLET[[#This Row],[POSTAVA]],III[POSTAVA],III[REPLIKY],0))</f>
        <v xml:space="preserve"> / </v>
      </c>
      <c r="E107" s="9" t="str">
        <f>_xlfn.CONCAT(_xlfn.XLOOKUP(KOMPLET[[#This Row],[POSTAVA]],IV[POSTAVA],IV[VSTUPY],0)," / ",_xlfn.XLOOKUP(KOMPLET[[#This Row],[POSTAVA]],IV[POSTAVA],IV[REPLIKY],0))</f>
        <v xml:space="preserve"> / </v>
      </c>
      <c r="F107" s="9" t="str">
        <f>_xlfn.CONCAT(_xlfn.XLOOKUP(KOMPLET[[#This Row],[POSTAVA]],V[POSTAVA],V[VSTUPY],0)," / ",_xlfn.XLOOKUP(KOMPLET[[#This Row],[POSTAVA]],V[POSTAVA],V[REPLIKY],0))</f>
        <v xml:space="preserve"> / </v>
      </c>
      <c r="G107" s="9" t="str">
        <f>_xlfn.CONCAT(_xlfn.XLOOKUP(KOMPLET[[#This Row],[POSTAVA]],VI[POSTAVA],VI[VSTUPY],0)," / ",_xlfn.XLOOKUP(KOMPLET[[#This Row],[POSTAVA]],VI[POSTAVA],VI[REPLIKY],0))</f>
        <v xml:space="preserve"> / </v>
      </c>
      <c r="I107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7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7" s="1"/>
    </row>
    <row r="108" spans="1:11" ht="17" x14ac:dyDescent="0.2">
      <c r="A108" s="20"/>
      <c r="B108" s="9" t="str">
        <f>_xlfn.CONCAT(_xlfn.XLOOKUP(KOMPLET[[#This Row],[POSTAVA]],I[POSTAVA],I[VSTUPY],0)," / ",_xlfn.XLOOKUP(KOMPLET[[#This Row],[POSTAVA]],I[POSTAVA],I[REPLIKY],0))</f>
        <v xml:space="preserve"> / </v>
      </c>
      <c r="C108" s="9" t="str">
        <f>_xlfn.CONCAT(_xlfn.XLOOKUP(KOMPLET[[#This Row],[POSTAVA]],II[POSTAVA],II[VSTUPY],0)," / ",_xlfn.XLOOKUP(KOMPLET[[#This Row],[POSTAVA]],II[POSTAVA],II[REPLIKY],0))</f>
        <v xml:space="preserve"> / </v>
      </c>
      <c r="D108" s="9" t="str">
        <f>_xlfn.CONCAT(_xlfn.XLOOKUP(KOMPLET[[#This Row],[POSTAVA]],III[POSTAVA],III[VSTUPY],0)," / ",_xlfn.XLOOKUP(KOMPLET[[#This Row],[POSTAVA]],III[POSTAVA],III[REPLIKY],0))</f>
        <v xml:space="preserve"> / </v>
      </c>
      <c r="E108" s="9" t="str">
        <f>_xlfn.CONCAT(_xlfn.XLOOKUP(KOMPLET[[#This Row],[POSTAVA]],IV[POSTAVA],IV[VSTUPY],0)," / ",_xlfn.XLOOKUP(KOMPLET[[#This Row],[POSTAVA]],IV[POSTAVA],IV[REPLIKY],0))</f>
        <v xml:space="preserve"> / </v>
      </c>
      <c r="F108" s="9" t="str">
        <f>_xlfn.CONCAT(_xlfn.XLOOKUP(KOMPLET[[#This Row],[POSTAVA]],V[POSTAVA],V[VSTUPY],0)," / ",_xlfn.XLOOKUP(KOMPLET[[#This Row],[POSTAVA]],V[POSTAVA],V[REPLIKY],0))</f>
        <v xml:space="preserve"> / </v>
      </c>
      <c r="G108" s="9" t="str">
        <f>_xlfn.CONCAT(_xlfn.XLOOKUP(KOMPLET[[#This Row],[POSTAVA]],VI[POSTAVA],VI[VSTUPY],0)," / ",_xlfn.XLOOKUP(KOMPLET[[#This Row],[POSTAVA]],VI[POSTAVA],VI[REPLIKY],0))</f>
        <v xml:space="preserve"> / </v>
      </c>
      <c r="I108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8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8" s="1"/>
    </row>
    <row r="109" spans="1:11" ht="17" x14ac:dyDescent="0.2">
      <c r="A109" s="20"/>
      <c r="B109" s="9" t="str">
        <f>_xlfn.CONCAT(_xlfn.XLOOKUP(KOMPLET[[#This Row],[POSTAVA]],I[POSTAVA],I[VSTUPY],0)," / ",_xlfn.XLOOKUP(KOMPLET[[#This Row],[POSTAVA]],I[POSTAVA],I[REPLIKY],0))</f>
        <v xml:space="preserve"> / </v>
      </c>
      <c r="C109" s="9" t="str">
        <f>_xlfn.CONCAT(_xlfn.XLOOKUP(KOMPLET[[#This Row],[POSTAVA]],II[POSTAVA],II[VSTUPY],0)," / ",_xlfn.XLOOKUP(KOMPLET[[#This Row],[POSTAVA]],II[POSTAVA],II[REPLIKY],0))</f>
        <v xml:space="preserve"> / </v>
      </c>
      <c r="D109" s="9" t="str">
        <f>_xlfn.CONCAT(_xlfn.XLOOKUP(KOMPLET[[#This Row],[POSTAVA]],III[POSTAVA],III[VSTUPY],0)," / ",_xlfn.XLOOKUP(KOMPLET[[#This Row],[POSTAVA]],III[POSTAVA],III[REPLIKY],0))</f>
        <v xml:space="preserve"> / </v>
      </c>
      <c r="E109" s="9" t="str">
        <f>_xlfn.CONCAT(_xlfn.XLOOKUP(KOMPLET[[#This Row],[POSTAVA]],IV[POSTAVA],IV[VSTUPY],0)," / ",_xlfn.XLOOKUP(KOMPLET[[#This Row],[POSTAVA]],IV[POSTAVA],IV[REPLIKY],0))</f>
        <v xml:space="preserve"> / </v>
      </c>
      <c r="F109" s="9" t="str">
        <f>_xlfn.CONCAT(_xlfn.XLOOKUP(KOMPLET[[#This Row],[POSTAVA]],V[POSTAVA],V[VSTUPY],0)," / ",_xlfn.XLOOKUP(KOMPLET[[#This Row],[POSTAVA]],V[POSTAVA],V[REPLIKY],0))</f>
        <v xml:space="preserve"> / </v>
      </c>
      <c r="G109" s="9" t="str">
        <f>_xlfn.CONCAT(_xlfn.XLOOKUP(KOMPLET[[#This Row],[POSTAVA]],VI[POSTAVA],VI[VSTUPY],0)," / ",_xlfn.XLOOKUP(KOMPLET[[#This Row],[POSTAVA]],VI[POSTAVA],VI[REPLIKY],0))</f>
        <v xml:space="preserve"> / </v>
      </c>
      <c r="I109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09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09" s="1"/>
    </row>
    <row r="110" spans="1:11" ht="17" x14ac:dyDescent="0.2">
      <c r="A110" s="20"/>
      <c r="B110" s="9" t="str">
        <f>_xlfn.CONCAT(_xlfn.XLOOKUP(KOMPLET[[#This Row],[POSTAVA]],I[POSTAVA],I[VSTUPY],0)," / ",_xlfn.XLOOKUP(KOMPLET[[#This Row],[POSTAVA]],I[POSTAVA],I[REPLIKY],0))</f>
        <v xml:space="preserve"> / </v>
      </c>
      <c r="C110" s="9" t="str">
        <f>_xlfn.CONCAT(_xlfn.XLOOKUP(KOMPLET[[#This Row],[POSTAVA]],II[POSTAVA],II[VSTUPY],0)," / ",_xlfn.XLOOKUP(KOMPLET[[#This Row],[POSTAVA]],II[POSTAVA],II[REPLIKY],0))</f>
        <v xml:space="preserve"> / </v>
      </c>
      <c r="D110" s="9" t="str">
        <f>_xlfn.CONCAT(_xlfn.XLOOKUP(KOMPLET[[#This Row],[POSTAVA]],III[POSTAVA],III[VSTUPY],0)," / ",_xlfn.XLOOKUP(KOMPLET[[#This Row],[POSTAVA]],III[POSTAVA],III[REPLIKY],0))</f>
        <v xml:space="preserve"> / </v>
      </c>
      <c r="E110" s="9" t="str">
        <f>_xlfn.CONCAT(_xlfn.XLOOKUP(KOMPLET[[#This Row],[POSTAVA]],IV[POSTAVA],IV[VSTUPY],0)," / ",_xlfn.XLOOKUP(KOMPLET[[#This Row],[POSTAVA]],IV[POSTAVA],IV[REPLIKY],0))</f>
        <v xml:space="preserve"> / </v>
      </c>
      <c r="F110" s="9" t="str">
        <f>_xlfn.CONCAT(_xlfn.XLOOKUP(KOMPLET[[#This Row],[POSTAVA]],V[POSTAVA],V[VSTUPY],0)," / ",_xlfn.XLOOKUP(KOMPLET[[#This Row],[POSTAVA]],V[POSTAVA],V[REPLIKY],0))</f>
        <v xml:space="preserve"> / </v>
      </c>
      <c r="G110" s="9" t="str">
        <f>_xlfn.CONCAT(_xlfn.XLOOKUP(KOMPLET[[#This Row],[POSTAVA]],VI[POSTAVA],VI[VSTUPY],0)," / ",_xlfn.XLOOKUP(KOMPLET[[#This Row],[POSTAVA]],VI[POSTAVA],VI[REPLIKY],0))</f>
        <v xml:space="preserve"> / </v>
      </c>
      <c r="I110" s="10">
        <f>SUM(_xlfn.XLOOKUP(KOMPLET[[#This Row],[POSTAVA]],I[POSTAVA],I[VSTUPY],0),_xlfn.XLOOKUP(KOMPLET[[#This Row],[POSTAVA]],II[POSTAVA],II[VSTUPY],0),_xlfn.XLOOKUP(KOMPLET[[#This Row],[POSTAVA]],III[POSTAVA],III[VSTUPY],0),_xlfn.XLOOKUP(KOMPLET[[#This Row],[POSTAVA]],IV[POSTAVA],IV[VSTUPY],0),_xlfn.XLOOKUP(KOMPLET[[#This Row],[POSTAVA]],V[POSTAVA],V[VSTUPY],0),_xlfn.XLOOKUP(KOMPLET[[#This Row],[POSTAVA]],VI[POSTAVA],VI[VSTUPY],0))</f>
        <v>0</v>
      </c>
      <c r="J110" s="10">
        <f>SUM(_xlfn.XLOOKUP(KOMPLET[[#This Row],[POSTAVA]],I[POSTAVA],I[REPLIKY],0),_xlfn.XLOOKUP(KOMPLET[[#This Row],[POSTAVA]],II[POSTAVA],II[REPLIKY],0),_xlfn.XLOOKUP(KOMPLET[[#This Row],[POSTAVA]],III[POSTAVA],III[REPLIKY],0),_xlfn.XLOOKUP(KOMPLET[[#This Row],[POSTAVA]],IV[POSTAVA],IV[REPLIKY],0),_xlfn.XLOOKUP(KOMPLET[[#This Row],[POSTAVA]],V[POSTAVA],V[REPLIKY],0),_xlfn.XLOOKUP(KOMPLET[[#This Row],[POSTAVA]],VI[POSTAVA],VI[REPLIKY],0))</f>
        <v>0</v>
      </c>
      <c r="K110" s="1"/>
    </row>
    <row r="111" spans="1:11" x14ac:dyDescent="0.2">
      <c r="A111" s="2"/>
      <c r="B111" s="9"/>
      <c r="C111" s="9"/>
      <c r="D111" s="9"/>
      <c r="E111" s="9"/>
      <c r="F111" s="9"/>
      <c r="G111" s="9"/>
      <c r="H111" s="18"/>
      <c r="I111" s="19"/>
      <c r="J111" s="19"/>
      <c r="K111" s="1"/>
    </row>
    <row r="709" spans="1:1" x14ac:dyDescent="0.2">
      <c r="A709" s="2"/>
    </row>
    <row r="710" spans="1:1" x14ac:dyDescent="0.2">
      <c r="A710" s="2"/>
    </row>
  </sheetData>
  <phoneticPr fontId="6" type="noConversion"/>
  <conditionalFormatting sqref="H1">
    <cfRule type="containsBlanks" dxfId="49" priority="22">
      <formula>LEN(TRIM(H1))=0</formula>
    </cfRule>
  </conditionalFormatting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8ED93-3354-E34C-9590-65C41E9C91EC}">
  <dimension ref="A1:C3"/>
  <sheetViews>
    <sheetView topLeftCell="A7" zoomScale="237" workbookViewId="0">
      <selection activeCell="B21" sqref="B21"/>
    </sheetView>
  </sheetViews>
  <sheetFormatPr baseColWidth="10" defaultColWidth="11" defaultRowHeight="16" x14ac:dyDescent="0.2"/>
  <cols>
    <col min="1" max="1" width="13" bestFit="1" customWidth="1"/>
    <col min="2" max="2" width="14.1640625" bestFit="1" customWidth="1"/>
    <col min="3" max="3" width="14" bestFit="1" customWidth="1"/>
  </cols>
  <sheetData>
    <row r="1" spans="1:3" x14ac:dyDescent="0.2">
      <c r="A1" s="24" t="s">
        <v>13</v>
      </c>
      <c r="B1" t="s">
        <v>14</v>
      </c>
      <c r="C1" t="s">
        <v>15</v>
      </c>
    </row>
    <row r="2" spans="1:3" x14ac:dyDescent="0.2">
      <c r="A2" s="20" t="s">
        <v>18</v>
      </c>
      <c r="B2">
        <v>0</v>
      </c>
      <c r="C2">
        <v>0</v>
      </c>
    </row>
    <row r="3" spans="1:3" x14ac:dyDescent="0.2">
      <c r="A3" s="20" t="s">
        <v>16</v>
      </c>
      <c r="B3">
        <v>0</v>
      </c>
      <c r="C3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6924-02C0-DB4B-81B1-76B16B2E1BF9}">
  <sheetPr codeName="List3"/>
  <dimension ref="A1:M138"/>
  <sheetViews>
    <sheetView workbookViewId="0">
      <selection activeCell="E1" sqref="E1"/>
    </sheetView>
  </sheetViews>
  <sheetFormatPr baseColWidth="10" defaultColWidth="11" defaultRowHeight="16" x14ac:dyDescent="0.2"/>
  <cols>
    <col min="1" max="1" width="21" customWidth="1"/>
    <col min="2" max="2" width="14.1640625" bestFit="1" customWidth="1"/>
    <col min="5" max="5" width="31.6640625" customWidth="1"/>
  </cols>
  <sheetData>
    <row r="1" spans="1:13" x14ac:dyDescent="0.2">
      <c r="A1" s="17" t="s">
        <v>4</v>
      </c>
      <c r="B1" s="3" t="s">
        <v>11</v>
      </c>
      <c r="C1" s="25" t="s">
        <v>12</v>
      </c>
      <c r="D1" s="25" t="s">
        <v>0</v>
      </c>
      <c r="E1" s="3" t="s">
        <v>19</v>
      </c>
      <c r="F1" s="25" t="s">
        <v>20</v>
      </c>
    </row>
    <row r="2" spans="1:13" x14ac:dyDescent="0.2">
      <c r="A2" s="20"/>
      <c r="C2" s="23"/>
      <c r="D2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" s="14" t="b">
        <f>EXACT(UPPER(I[[#This Row],[POSTAVA]]),UPPER(I[[#This Row],[KONTROLA DABÉRA]]))</f>
        <v>1</v>
      </c>
      <c r="G2" s="14"/>
      <c r="H2" s="14"/>
      <c r="I2" s="14"/>
      <c r="J2" s="14"/>
      <c r="K2" s="14"/>
      <c r="L2" s="14"/>
      <c r="M2" s="14"/>
    </row>
    <row r="3" spans="1:13" x14ac:dyDescent="0.2">
      <c r="A3" s="20"/>
      <c r="C3" s="23"/>
      <c r="D3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3" s="14" t="b">
        <f>EXACT(UPPER(I[[#This Row],[POSTAVA]]),UPPER(I[[#This Row],[KONTROLA DABÉRA]]))</f>
        <v>1</v>
      </c>
      <c r="G3" s="14"/>
      <c r="H3" s="14"/>
      <c r="I3" s="14"/>
      <c r="J3" s="14"/>
      <c r="K3" s="14"/>
      <c r="L3" s="14"/>
      <c r="M3" s="14"/>
    </row>
    <row r="4" spans="1:13" x14ac:dyDescent="0.2">
      <c r="A4" s="20"/>
      <c r="C4" s="23"/>
      <c r="D4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4" s="14" t="b">
        <f>EXACT(UPPER(I[[#This Row],[POSTAVA]]),UPPER(I[[#This Row],[KONTROLA DABÉRA]]))</f>
        <v>1</v>
      </c>
      <c r="G4" s="14"/>
      <c r="H4" s="14"/>
      <c r="I4" s="14"/>
      <c r="J4" s="14"/>
      <c r="K4" s="14"/>
      <c r="L4" s="14"/>
      <c r="M4" s="14"/>
    </row>
    <row r="5" spans="1:13" x14ac:dyDescent="0.2">
      <c r="A5" s="20"/>
      <c r="C5" s="23"/>
      <c r="D5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5" s="14" t="b">
        <f>EXACT(UPPER(I[[#This Row],[POSTAVA]]),UPPER(I[[#This Row],[KONTROLA DABÉRA]]))</f>
        <v>1</v>
      </c>
      <c r="G5" s="14"/>
      <c r="H5" s="14"/>
      <c r="I5" s="14"/>
      <c r="J5" s="14"/>
      <c r="K5" s="14"/>
      <c r="L5" s="14"/>
      <c r="M5" s="14"/>
    </row>
    <row r="6" spans="1:13" x14ac:dyDescent="0.2">
      <c r="A6" s="20"/>
      <c r="C6" s="23"/>
      <c r="D6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6" s="14" t="b">
        <f>EXACT(UPPER(I[[#This Row],[POSTAVA]]),UPPER(I[[#This Row],[KONTROLA DABÉRA]]))</f>
        <v>1</v>
      </c>
      <c r="G6" s="14"/>
      <c r="H6" s="14"/>
      <c r="I6" s="14"/>
      <c r="J6" s="14"/>
      <c r="K6" s="14"/>
      <c r="L6" s="14"/>
      <c r="M6" s="14"/>
    </row>
    <row r="7" spans="1:13" x14ac:dyDescent="0.2">
      <c r="A7" s="20"/>
      <c r="C7" s="23"/>
      <c r="D7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7" s="14" t="b">
        <f>EXACT(UPPER(I[[#This Row],[POSTAVA]]),UPPER(I[[#This Row],[KONTROLA DABÉRA]]))</f>
        <v>1</v>
      </c>
      <c r="G7" s="14"/>
      <c r="H7" s="14"/>
      <c r="I7" s="14"/>
      <c r="J7" s="14"/>
      <c r="K7" s="14"/>
      <c r="L7" s="14"/>
      <c r="M7" s="14"/>
    </row>
    <row r="8" spans="1:13" x14ac:dyDescent="0.2">
      <c r="A8" s="20"/>
      <c r="C8" s="23"/>
      <c r="D8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8" s="14" t="b">
        <f>EXACT(UPPER(I[[#This Row],[POSTAVA]]),UPPER(I[[#This Row],[KONTROLA DABÉRA]]))</f>
        <v>1</v>
      </c>
      <c r="G8" s="14"/>
      <c r="H8" s="14"/>
      <c r="I8" s="14"/>
      <c r="J8" s="14"/>
      <c r="K8" s="14"/>
      <c r="L8" s="14"/>
      <c r="M8" s="14"/>
    </row>
    <row r="9" spans="1:13" x14ac:dyDescent="0.2">
      <c r="A9" s="20"/>
      <c r="C9" s="23"/>
      <c r="D9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9" s="14" t="b">
        <f>EXACT(UPPER(I[[#This Row],[POSTAVA]]),UPPER(I[[#This Row],[KONTROLA DABÉRA]]))</f>
        <v>1</v>
      </c>
      <c r="G9" s="14"/>
      <c r="H9" s="14"/>
      <c r="I9" s="14"/>
      <c r="J9" s="14"/>
      <c r="K9" s="14"/>
      <c r="L9" s="14"/>
      <c r="M9" s="14"/>
    </row>
    <row r="10" spans="1:13" x14ac:dyDescent="0.2">
      <c r="A10" s="20"/>
      <c r="C10" s="23"/>
      <c r="D10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0" s="14" t="b">
        <f>EXACT(UPPER(I[[#This Row],[POSTAVA]]),UPPER(I[[#This Row],[KONTROLA DABÉRA]]))</f>
        <v>1</v>
      </c>
      <c r="G10" s="14"/>
      <c r="H10" s="14"/>
      <c r="I10" s="14"/>
      <c r="J10" s="14"/>
      <c r="K10" s="14"/>
      <c r="L10" s="14"/>
      <c r="M10" s="14"/>
    </row>
    <row r="11" spans="1:13" x14ac:dyDescent="0.2">
      <c r="A11" s="20"/>
      <c r="C11" s="23"/>
      <c r="D11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1" s="14" t="b">
        <f>EXACT(UPPER(I[[#This Row],[POSTAVA]]),UPPER(I[[#This Row],[KONTROLA DABÉRA]]))</f>
        <v>1</v>
      </c>
      <c r="G11" s="14"/>
      <c r="H11" s="14"/>
      <c r="I11" s="14"/>
      <c r="J11" s="14"/>
      <c r="K11" s="14"/>
      <c r="L11" s="14"/>
      <c r="M11" s="14"/>
    </row>
    <row r="12" spans="1:13" x14ac:dyDescent="0.2">
      <c r="A12" s="20"/>
      <c r="C12" s="23"/>
      <c r="D12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2" s="14" t="b">
        <f>EXACT(UPPER(I[[#This Row],[POSTAVA]]),UPPER(I[[#This Row],[KONTROLA DABÉRA]]))</f>
        <v>1</v>
      </c>
      <c r="G12" s="14"/>
      <c r="H12" s="14"/>
      <c r="I12" s="14"/>
      <c r="J12" s="14"/>
      <c r="K12" s="14"/>
      <c r="L12" s="14"/>
      <c r="M12" s="14"/>
    </row>
    <row r="13" spans="1:13" x14ac:dyDescent="0.2">
      <c r="A13" s="20"/>
      <c r="C13" s="23"/>
      <c r="D13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3" s="14" t="b">
        <f>EXACT(UPPER(I[[#This Row],[POSTAVA]]),UPPER(I[[#This Row],[KONTROLA DABÉRA]]))</f>
        <v>1</v>
      </c>
      <c r="G13" s="14"/>
      <c r="H13" s="14"/>
      <c r="I13" s="14"/>
      <c r="J13" s="14"/>
      <c r="K13" s="14"/>
      <c r="L13" s="14"/>
      <c r="M13" s="14"/>
    </row>
    <row r="14" spans="1:13" x14ac:dyDescent="0.2">
      <c r="A14" s="20"/>
      <c r="C14" s="23"/>
      <c r="D14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4" s="14" t="b">
        <f>EXACT(UPPER(I[[#This Row],[POSTAVA]]),UPPER(I[[#This Row],[KONTROLA DABÉRA]]))</f>
        <v>1</v>
      </c>
      <c r="G14" s="14"/>
      <c r="H14" s="14"/>
      <c r="I14" s="14"/>
      <c r="J14" s="14"/>
      <c r="K14" s="14"/>
      <c r="L14" s="14"/>
      <c r="M14" s="14"/>
    </row>
    <row r="15" spans="1:13" x14ac:dyDescent="0.2">
      <c r="A15" s="20"/>
      <c r="C15" s="23"/>
      <c r="D15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5" s="14" t="b">
        <f>EXACT(UPPER(I[[#This Row],[POSTAVA]]),UPPER(I[[#This Row],[KONTROLA DABÉRA]]))</f>
        <v>1</v>
      </c>
      <c r="G15" s="14"/>
      <c r="H15" s="14"/>
      <c r="I15" s="14"/>
      <c r="J15" s="14"/>
      <c r="K15" s="14"/>
      <c r="L15" s="14"/>
      <c r="M15" s="14"/>
    </row>
    <row r="16" spans="1:13" x14ac:dyDescent="0.2">
      <c r="A16" s="20"/>
      <c r="C16" s="23"/>
      <c r="D16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6" s="14" t="b">
        <f>EXACT(UPPER(I[[#This Row],[POSTAVA]]),UPPER(I[[#This Row],[KONTROLA DABÉRA]]))</f>
        <v>1</v>
      </c>
      <c r="G16" s="14"/>
      <c r="H16" s="14"/>
      <c r="I16" s="14"/>
      <c r="J16" s="14"/>
      <c r="K16" s="14"/>
      <c r="L16" s="14"/>
      <c r="M16" s="14"/>
    </row>
    <row r="17" spans="1:13" x14ac:dyDescent="0.2">
      <c r="A17" s="20"/>
      <c r="C17" s="23"/>
      <c r="D17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7" s="14" t="b">
        <f>EXACT(UPPER(I[[#This Row],[POSTAVA]]),UPPER(I[[#This Row],[KONTROLA DABÉRA]]))</f>
        <v>1</v>
      </c>
      <c r="G17" s="14"/>
      <c r="H17" s="14"/>
      <c r="I17" s="14"/>
      <c r="J17" s="14"/>
      <c r="K17" s="14"/>
      <c r="L17" s="14"/>
      <c r="M17" s="14"/>
    </row>
    <row r="18" spans="1:13" x14ac:dyDescent="0.2">
      <c r="A18" s="20"/>
      <c r="C18" s="23"/>
      <c r="D18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8" s="14" t="b">
        <f>EXACT(UPPER(I[[#This Row],[POSTAVA]]),UPPER(I[[#This Row],[KONTROLA DABÉRA]]))</f>
        <v>1</v>
      </c>
      <c r="G18" s="14"/>
      <c r="H18" s="14"/>
      <c r="I18" s="14"/>
      <c r="J18" s="14"/>
      <c r="K18" s="14"/>
      <c r="L18" s="14"/>
      <c r="M18" s="14"/>
    </row>
    <row r="19" spans="1:13" x14ac:dyDescent="0.2">
      <c r="A19" s="20"/>
      <c r="C19" s="23"/>
      <c r="D19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19" s="14" t="b">
        <f>EXACT(UPPER(I[[#This Row],[POSTAVA]]),UPPER(I[[#This Row],[KONTROLA DABÉRA]]))</f>
        <v>1</v>
      </c>
      <c r="G19" s="14"/>
      <c r="H19" s="14"/>
      <c r="I19" s="14"/>
      <c r="J19" s="14"/>
      <c r="K19" s="14"/>
      <c r="L19" s="14"/>
      <c r="M19" s="14"/>
    </row>
    <row r="20" spans="1:13" x14ac:dyDescent="0.2">
      <c r="A20" s="20"/>
      <c r="C20" s="23"/>
      <c r="D20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0" s="14" t="b">
        <f>EXACT(UPPER(I[[#This Row],[POSTAVA]]),UPPER(I[[#This Row],[KONTROLA DABÉRA]]))</f>
        <v>1</v>
      </c>
      <c r="G20" s="14"/>
      <c r="H20" s="14"/>
      <c r="I20" s="14"/>
      <c r="J20" s="14"/>
      <c r="K20" s="14"/>
      <c r="L20" s="14"/>
      <c r="M20" s="14"/>
    </row>
    <row r="21" spans="1:13" x14ac:dyDescent="0.2">
      <c r="A21" s="20"/>
      <c r="B21" s="14"/>
      <c r="C21" s="23"/>
      <c r="D21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1" s="14" t="b">
        <f>EXACT(UPPER(I[[#This Row],[POSTAVA]]),UPPER(I[[#This Row],[KONTROLA DABÉRA]]))</f>
        <v>1</v>
      </c>
      <c r="G21" s="14"/>
      <c r="H21" s="14"/>
      <c r="I21" s="14"/>
      <c r="J21" s="14"/>
      <c r="K21" s="14"/>
      <c r="L21" s="14"/>
      <c r="M21" s="14"/>
    </row>
    <row r="22" spans="1:13" x14ac:dyDescent="0.2">
      <c r="A22" s="6"/>
      <c r="B22" s="14"/>
      <c r="C22" s="23"/>
      <c r="D22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2" s="14" t="b">
        <f>EXACT(UPPER(I[[#This Row],[POSTAVA]]),UPPER(I[[#This Row],[KONTROLA DABÉRA]]))</f>
        <v>1</v>
      </c>
      <c r="G22" s="14"/>
      <c r="H22" s="14"/>
      <c r="I22" s="14"/>
      <c r="J22" s="14"/>
      <c r="K22" s="14"/>
      <c r="L22" s="14"/>
      <c r="M22" s="14"/>
    </row>
    <row r="23" spans="1:13" x14ac:dyDescent="0.2">
      <c r="A23" s="6"/>
      <c r="B23" s="14"/>
      <c r="C23" s="23"/>
      <c r="D23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3" s="14" t="b">
        <f>EXACT(UPPER(I[[#This Row],[POSTAVA]]),UPPER(I[[#This Row],[KONTROLA DABÉRA]]))</f>
        <v>1</v>
      </c>
      <c r="G23" s="14"/>
      <c r="H23" s="14"/>
      <c r="I23" s="14"/>
      <c r="J23" s="14"/>
      <c r="K23" s="14"/>
      <c r="L23" s="14"/>
      <c r="M23" s="14"/>
    </row>
    <row r="24" spans="1:13" x14ac:dyDescent="0.2">
      <c r="A24" s="6"/>
      <c r="B24" s="14"/>
      <c r="C24" s="23"/>
      <c r="D24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4" s="14" t="b">
        <f>EXACT(UPPER(I[[#This Row],[POSTAVA]]),UPPER(I[[#This Row],[KONTROLA DABÉRA]]))</f>
        <v>1</v>
      </c>
      <c r="G24" s="14"/>
      <c r="H24" s="14"/>
      <c r="I24" s="14"/>
      <c r="J24" s="14"/>
      <c r="K24" s="14"/>
      <c r="L24" s="14"/>
      <c r="M24" s="14"/>
    </row>
    <row r="25" spans="1:13" x14ac:dyDescent="0.2">
      <c r="A25" s="6"/>
      <c r="B25" s="14"/>
      <c r="C25" s="23"/>
      <c r="D25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5" s="14" t="b">
        <f>EXACT(UPPER(I[[#This Row],[POSTAVA]]),UPPER(I[[#This Row],[KONTROLA DABÉRA]]))</f>
        <v>1</v>
      </c>
      <c r="G25" s="14"/>
      <c r="H25" s="14"/>
      <c r="I25" s="14"/>
      <c r="J25" s="14"/>
      <c r="K25" s="14"/>
      <c r="L25" s="14"/>
      <c r="M25" s="14"/>
    </row>
    <row r="26" spans="1:13" x14ac:dyDescent="0.2">
      <c r="A26" s="6"/>
      <c r="B26" s="14"/>
      <c r="C26" s="23"/>
      <c r="D26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6" s="14" t="b">
        <f>EXACT(UPPER(I[[#This Row],[POSTAVA]]),UPPER(I[[#This Row],[KONTROLA DABÉRA]]))</f>
        <v>1</v>
      </c>
      <c r="G26" s="14"/>
      <c r="H26" s="14"/>
      <c r="I26" s="14"/>
      <c r="J26" s="14"/>
      <c r="K26" s="14"/>
      <c r="L26" s="14"/>
      <c r="M26" s="14"/>
    </row>
    <row r="27" spans="1:13" x14ac:dyDescent="0.2">
      <c r="A27" s="6"/>
      <c r="B27" s="14"/>
      <c r="C27" s="23"/>
      <c r="D27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7" s="14" t="b">
        <f>EXACT(UPPER(I[[#This Row],[POSTAVA]]),UPPER(I[[#This Row],[KONTROLA DABÉRA]]))</f>
        <v>1</v>
      </c>
      <c r="G27" s="14"/>
      <c r="H27" s="14"/>
      <c r="I27" s="14"/>
      <c r="J27" s="14"/>
      <c r="K27" s="14"/>
      <c r="L27" s="14"/>
      <c r="M27" s="14"/>
    </row>
    <row r="28" spans="1:13" x14ac:dyDescent="0.2">
      <c r="A28" s="6"/>
      <c r="B28" s="14"/>
      <c r="C28" s="23"/>
      <c r="D28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8" s="14" t="b">
        <f>EXACT(UPPER(I[[#This Row],[POSTAVA]]),UPPER(I[[#This Row],[KONTROLA DABÉRA]]))</f>
        <v>1</v>
      </c>
      <c r="G28" s="14"/>
      <c r="H28" s="14"/>
      <c r="I28" s="14"/>
      <c r="J28" s="14"/>
      <c r="K28" s="14"/>
      <c r="L28" s="14"/>
      <c r="M28" s="14"/>
    </row>
    <row r="29" spans="1:13" x14ac:dyDescent="0.2">
      <c r="A29" s="6"/>
      <c r="B29" s="14"/>
      <c r="C29" s="23"/>
      <c r="D29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29" s="14" t="b">
        <f>EXACT(UPPER(I[[#This Row],[POSTAVA]]),UPPER(I[[#This Row],[KONTROLA DABÉRA]]))</f>
        <v>1</v>
      </c>
      <c r="G29" s="14"/>
      <c r="H29" s="14"/>
      <c r="I29" s="14"/>
      <c r="J29" s="14"/>
      <c r="K29" s="14"/>
      <c r="L29" s="14"/>
      <c r="M29" s="14"/>
    </row>
    <row r="30" spans="1:13" x14ac:dyDescent="0.2">
      <c r="A30" s="6"/>
      <c r="B30" s="14"/>
      <c r="C30" s="23"/>
      <c r="D30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30" s="14" t="b">
        <f>EXACT(UPPER(I[[#This Row],[POSTAVA]]),UPPER(I[[#This Row],[KONTROLA DABÉRA]]))</f>
        <v>1</v>
      </c>
      <c r="G30" s="14"/>
      <c r="H30" s="14"/>
      <c r="I30" s="14"/>
      <c r="J30" s="14"/>
      <c r="K30" s="14"/>
      <c r="L30" s="14"/>
      <c r="M30" s="14"/>
    </row>
    <row r="31" spans="1:13" x14ac:dyDescent="0.2">
      <c r="A31" s="6"/>
      <c r="B31" s="14"/>
      <c r="C31" s="23"/>
      <c r="D31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31" s="14" t="b">
        <f>EXACT(UPPER(I[[#This Row],[POSTAVA]]),UPPER(I[[#This Row],[KONTROLA DABÉRA]]))</f>
        <v>1</v>
      </c>
      <c r="G31" s="14"/>
      <c r="H31" s="14"/>
      <c r="I31" s="14"/>
      <c r="J31" s="14"/>
      <c r="K31" s="14"/>
      <c r="L31" s="14"/>
      <c r="M31" s="14"/>
    </row>
    <row r="32" spans="1:13" x14ac:dyDescent="0.2">
      <c r="A32" s="6"/>
      <c r="C32" s="23"/>
      <c r="D32" s="14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32" s="14" t="b">
        <f>EXACT(UPPER(I[[#This Row],[POSTAVA]]),UPPER(I[[#This Row],[KONTROLA DABÉRA]]))</f>
        <v>1</v>
      </c>
      <c r="G32" s="14"/>
      <c r="H32" s="14"/>
      <c r="I32" s="14"/>
      <c r="J32" s="14"/>
      <c r="K32" s="14"/>
      <c r="L32" s="14"/>
      <c r="M32" s="14"/>
    </row>
    <row r="33" spans="1:13" x14ac:dyDescent="0.2">
      <c r="A33" s="6"/>
      <c r="B33" s="8"/>
      <c r="C33" s="27"/>
      <c r="D33" s="8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33" s="8" t="b">
        <f>EXACT(UPPER(I[[#This Row],[POSTAVA]]),UPPER(I[[#This Row],[KONTROLA DABÉRA]]))</f>
        <v>1</v>
      </c>
      <c r="G33" s="14"/>
      <c r="H33" s="14"/>
      <c r="I33" s="14"/>
      <c r="J33" s="14"/>
      <c r="K33" s="14"/>
      <c r="L33" s="14"/>
      <c r="M33" s="14"/>
    </row>
    <row r="34" spans="1:13" x14ac:dyDescent="0.2">
      <c r="A34" s="6"/>
      <c r="B34" s="8"/>
      <c r="C34" s="27"/>
      <c r="D34" s="8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34" s="8" t="b">
        <f>EXACT(UPPER(I[[#This Row],[POSTAVA]]),UPPER(I[[#This Row],[KONTROLA DABÉRA]]))</f>
        <v>1</v>
      </c>
      <c r="G34" s="14"/>
      <c r="H34" s="14"/>
      <c r="I34" s="14"/>
      <c r="J34" s="14"/>
      <c r="K34" s="14"/>
      <c r="L34" s="14"/>
      <c r="M34" s="14"/>
    </row>
    <row r="35" spans="1:13" x14ac:dyDescent="0.2">
      <c r="A35" s="20"/>
      <c r="B35" s="8"/>
      <c r="C35" s="27"/>
      <c r="D35" s="8" t="str">
        <f>IF(_xlfn.XLOOKUP(I[[#This Row],[POSTAVA]],KOMPLET[POSTAVA],KOMPLET[DABÉR],"CHYBÍ POSTAVA V KOMPLET")=0,"NIKDO",_xlfn.XLOOKUP(I[[#This Row],[POSTAVA]],KOMPLET[POSTAVA],KOMPLET[DABÉR],"CHYBÍ POSTAVA V KOMPLET"))</f>
        <v>NIKDO</v>
      </c>
      <c r="F35" s="8" t="b">
        <f>EXACT(UPPER(I[[#This Row],[POSTAVA]]),UPPER(I[[#This Row],[KONTROLA DABÉRA]]))</f>
        <v>1</v>
      </c>
      <c r="G35" s="14"/>
      <c r="H35" s="14"/>
      <c r="I35" s="14"/>
      <c r="J35" s="14"/>
      <c r="K35" s="14"/>
      <c r="L35" s="14"/>
      <c r="M35" s="14"/>
    </row>
    <row r="36" spans="1:13" ht="17" x14ac:dyDescent="0.2">
      <c r="A36" s="11" t="s">
        <v>17</v>
      </c>
      <c r="B36" s="8">
        <f>SUBTOTAL(109,I[VSTUPY])</f>
        <v>0</v>
      </c>
      <c r="C36" s="8">
        <f>SUBTOTAL(9,I[REPLIKY])</f>
        <v>0</v>
      </c>
      <c r="D36" s="8">
        <f>SUBTOTAL(9,I[DABÉR])</f>
        <v>0</v>
      </c>
      <c r="E36" s="8"/>
      <c r="F36" s="8"/>
      <c r="G36" s="14"/>
      <c r="H36" s="14"/>
      <c r="I36" s="14"/>
      <c r="J36" s="14"/>
      <c r="K36" s="14"/>
      <c r="L36" s="14"/>
      <c r="M36" s="14"/>
    </row>
    <row r="37" spans="1:13" x14ac:dyDescent="0.2">
      <c r="A37" s="11"/>
      <c r="B37" s="8"/>
      <c r="C37" s="12"/>
      <c r="D37" s="12"/>
      <c r="E37" s="13"/>
      <c r="F37" s="14"/>
      <c r="G37" s="14"/>
      <c r="H37" s="14"/>
      <c r="I37" s="14"/>
      <c r="J37" s="14"/>
      <c r="K37" s="14"/>
      <c r="L37" s="14"/>
      <c r="M37" s="14"/>
    </row>
    <row r="38" spans="1:13" x14ac:dyDescent="0.2">
      <c r="A38" s="11"/>
      <c r="B38" s="8"/>
      <c r="C38" s="12"/>
      <c r="D38" s="12"/>
      <c r="E38" s="13"/>
      <c r="F38" s="14"/>
      <c r="G38" s="14"/>
      <c r="H38" s="14"/>
      <c r="I38" s="14"/>
      <c r="J38" s="14"/>
      <c r="K38" s="14"/>
      <c r="L38" s="14"/>
      <c r="M38" s="14"/>
    </row>
    <row r="39" spans="1:13" x14ac:dyDescent="0.2">
      <c r="A39" s="11"/>
      <c r="B39" s="8"/>
      <c r="C39" s="12"/>
      <c r="D39" s="12"/>
      <c r="E39" s="13"/>
      <c r="F39" s="14"/>
      <c r="G39" s="14"/>
      <c r="H39" s="14"/>
      <c r="I39" s="14"/>
      <c r="J39" s="14"/>
      <c r="K39" s="14"/>
      <c r="L39" s="14"/>
      <c r="M39" s="14"/>
    </row>
    <row r="40" spans="1:13" x14ac:dyDescent="0.2">
      <c r="A40" s="11"/>
      <c r="B40" s="8"/>
      <c r="C40" s="12"/>
      <c r="D40" s="12"/>
      <c r="E40" s="13"/>
      <c r="F40" s="14"/>
      <c r="G40" s="14"/>
      <c r="H40" s="14"/>
      <c r="I40" s="14"/>
      <c r="J40" s="14"/>
      <c r="K40" s="14"/>
      <c r="L40" s="14"/>
      <c r="M40" s="14"/>
    </row>
    <row r="41" spans="1:13" x14ac:dyDescent="0.2">
      <c r="A41" s="11"/>
      <c r="B41" s="8"/>
      <c r="C41" s="12"/>
      <c r="D41" s="12"/>
      <c r="E41" s="13"/>
      <c r="F41" s="14"/>
      <c r="G41" s="14"/>
      <c r="H41" s="14"/>
      <c r="I41" s="14"/>
      <c r="J41" s="14"/>
      <c r="K41" s="14"/>
      <c r="L41" s="14"/>
      <c r="M41" s="14"/>
    </row>
    <row r="42" spans="1:13" x14ac:dyDescent="0.2">
      <c r="A42" s="11"/>
      <c r="B42" s="8"/>
      <c r="C42" s="12"/>
      <c r="D42" s="12"/>
      <c r="E42" s="13"/>
      <c r="F42" s="14"/>
      <c r="G42" s="14"/>
      <c r="H42" s="14"/>
      <c r="I42" s="14"/>
      <c r="J42" s="14"/>
      <c r="K42" s="14"/>
      <c r="L42" s="14"/>
      <c r="M42" s="14"/>
    </row>
    <row r="43" spans="1:13" x14ac:dyDescent="0.2">
      <c r="A43" s="11"/>
      <c r="B43" s="8"/>
      <c r="C43" s="12"/>
      <c r="D43" s="12"/>
      <c r="E43" s="14"/>
      <c r="F43" s="14"/>
      <c r="G43" s="14"/>
      <c r="H43" s="14"/>
      <c r="I43" s="14"/>
      <c r="J43" s="14"/>
      <c r="K43" s="14"/>
      <c r="L43" s="14"/>
      <c r="M43" s="14"/>
    </row>
    <row r="44" spans="1:13" x14ac:dyDescent="0.2">
      <c r="A44" s="1"/>
      <c r="B44" s="6"/>
      <c r="C44" s="4"/>
      <c r="D44" s="4"/>
      <c r="E44" s="6"/>
      <c r="F44" s="14"/>
      <c r="G44" s="14"/>
      <c r="H44" s="14"/>
      <c r="I44" s="14"/>
      <c r="J44" s="14"/>
      <c r="K44" s="14"/>
      <c r="L44" s="14"/>
      <c r="M44" s="14"/>
    </row>
    <row r="45" spans="1:13" x14ac:dyDescent="0.2">
      <c r="A45" s="1"/>
      <c r="B45" s="6"/>
      <c r="C45" s="4"/>
      <c r="D45" s="4"/>
      <c r="E45" s="6"/>
      <c r="F45" s="14"/>
      <c r="G45" s="14"/>
      <c r="H45" s="14"/>
      <c r="I45" s="14"/>
      <c r="J45" s="14"/>
      <c r="K45" s="14"/>
      <c r="L45" s="14"/>
      <c r="M45" s="14"/>
    </row>
    <row r="46" spans="1:13" x14ac:dyDescent="0.2">
      <c r="A46" s="1"/>
      <c r="B46" s="6"/>
      <c r="C46" s="4"/>
      <c r="D46" s="4"/>
      <c r="E46" s="6"/>
      <c r="F46" s="14"/>
      <c r="G46" s="14"/>
      <c r="H46" s="14"/>
      <c r="I46" s="14"/>
      <c r="J46" s="14"/>
      <c r="K46" s="14"/>
      <c r="L46" s="14"/>
      <c r="M46" s="14"/>
    </row>
    <row r="47" spans="1:13" x14ac:dyDescent="0.2">
      <c r="A47" s="1"/>
      <c r="B47" s="6"/>
      <c r="C47" s="4"/>
      <c r="D47" s="4"/>
      <c r="E47" s="6"/>
      <c r="F47" s="14"/>
      <c r="G47" s="14"/>
      <c r="H47" s="14"/>
      <c r="I47" s="14"/>
      <c r="J47" s="14"/>
      <c r="K47" s="14"/>
      <c r="L47" s="14"/>
      <c r="M47" s="14"/>
    </row>
    <row r="48" spans="1:13" x14ac:dyDescent="0.2">
      <c r="A48" s="1"/>
      <c r="B48" s="6"/>
      <c r="C48" s="4"/>
      <c r="D48" s="4"/>
      <c r="E48" s="1"/>
      <c r="F48" s="14"/>
      <c r="G48" s="14"/>
      <c r="H48" s="14"/>
      <c r="I48" s="14"/>
      <c r="J48" s="14"/>
      <c r="K48" s="14"/>
      <c r="L48" s="14"/>
      <c r="M48" s="14"/>
    </row>
    <row r="49" spans="1:13" x14ac:dyDescent="0.2">
      <c r="A49" s="1"/>
      <c r="B49" s="6"/>
      <c r="C49" s="4"/>
      <c r="D49" s="4"/>
      <c r="E49" s="6"/>
      <c r="F49" s="14"/>
      <c r="G49" s="14"/>
      <c r="H49" s="14"/>
      <c r="I49" s="14"/>
      <c r="J49" s="14"/>
      <c r="K49" s="14"/>
      <c r="L49" s="14"/>
      <c r="M49" s="14"/>
    </row>
    <row r="50" spans="1:13" x14ac:dyDescent="0.2">
      <c r="A50" s="1"/>
      <c r="B50" s="6"/>
      <c r="C50" s="4"/>
      <c r="D50" s="4"/>
      <c r="E50" s="6"/>
      <c r="F50" s="14"/>
      <c r="G50" s="14"/>
      <c r="H50" s="14"/>
      <c r="I50" s="14"/>
      <c r="J50" s="14"/>
      <c r="K50" s="14"/>
      <c r="L50" s="14"/>
      <c r="M50" s="14"/>
    </row>
    <row r="51" spans="1:13" x14ac:dyDescent="0.2">
      <c r="A51" s="1"/>
      <c r="B51" s="1"/>
      <c r="C51" s="4"/>
      <c r="D51" s="4"/>
      <c r="E51" s="6"/>
      <c r="F51" s="14"/>
      <c r="G51" s="14"/>
      <c r="H51" s="14"/>
      <c r="I51" s="14"/>
      <c r="J51" s="14"/>
      <c r="K51" s="14"/>
      <c r="L51" s="14"/>
      <c r="M51" s="14"/>
    </row>
    <row r="52" spans="1:13" x14ac:dyDescent="0.2">
      <c r="A52" s="1"/>
      <c r="B52" s="6"/>
      <c r="C52" s="4"/>
      <c r="D52" s="4"/>
      <c r="E52" s="6"/>
      <c r="F52" s="14"/>
      <c r="G52" s="14"/>
      <c r="H52" s="14"/>
      <c r="I52" s="14"/>
      <c r="J52" s="14"/>
      <c r="K52" s="14"/>
      <c r="L52" s="14"/>
      <c r="M52" s="14"/>
    </row>
    <row r="53" spans="1:13" x14ac:dyDescent="0.2">
      <c r="A53" s="1"/>
      <c r="B53" s="6"/>
      <c r="C53" s="4"/>
      <c r="D53" s="4"/>
      <c r="E53" s="6"/>
      <c r="F53" s="14"/>
      <c r="G53" s="14"/>
      <c r="H53" s="14"/>
      <c r="I53" s="14"/>
      <c r="J53" s="14"/>
      <c r="K53" s="14"/>
      <c r="L53" s="14"/>
      <c r="M53" s="14"/>
    </row>
    <row r="54" spans="1:13" x14ac:dyDescent="0.2">
      <c r="A54" s="1"/>
      <c r="B54" s="6"/>
      <c r="C54" s="4"/>
      <c r="D54" s="4"/>
      <c r="E54" s="6"/>
      <c r="F54" s="14"/>
      <c r="G54" s="14"/>
      <c r="H54" s="14"/>
      <c r="I54" s="14"/>
      <c r="J54" s="14"/>
      <c r="K54" s="14"/>
      <c r="L54" s="14"/>
      <c r="M54" s="14"/>
    </row>
    <row r="55" spans="1:13" x14ac:dyDescent="0.2">
      <c r="A55" s="1"/>
      <c r="B55" s="6"/>
      <c r="C55" s="4"/>
      <c r="D55" s="4"/>
      <c r="E55" s="6"/>
      <c r="F55" s="14"/>
      <c r="G55" s="14"/>
      <c r="H55" s="14"/>
      <c r="I55" s="14"/>
      <c r="J55" s="14"/>
      <c r="K55" s="14"/>
      <c r="L55" s="14"/>
      <c r="M55" s="14"/>
    </row>
    <row r="56" spans="1:13" x14ac:dyDescent="0.2">
      <c r="A56" s="1"/>
      <c r="B56" s="6"/>
      <c r="C56" s="4"/>
      <c r="D56" s="4"/>
      <c r="E56" s="6"/>
      <c r="F56" s="14"/>
      <c r="G56" s="14"/>
      <c r="H56" s="14"/>
      <c r="I56" s="14"/>
      <c r="J56" s="14"/>
      <c r="K56" s="14"/>
      <c r="L56" s="14"/>
      <c r="M56" s="14"/>
    </row>
    <row r="57" spans="1:13" x14ac:dyDescent="0.2">
      <c r="A57" s="1"/>
      <c r="B57" s="7"/>
      <c r="C57" s="4"/>
      <c r="D57" s="4"/>
      <c r="E57" s="6"/>
      <c r="F57" s="14"/>
      <c r="G57" s="14"/>
      <c r="H57" s="14"/>
      <c r="I57" s="14"/>
      <c r="J57" s="14"/>
      <c r="K57" s="14"/>
      <c r="L57" s="14"/>
      <c r="M57" s="14"/>
    </row>
    <row r="58" spans="1:13" x14ac:dyDescent="0.2">
      <c r="A58" s="1"/>
      <c r="B58" s="1"/>
      <c r="C58" s="4"/>
      <c r="D58" s="4"/>
      <c r="E58" s="6"/>
      <c r="F58" s="14"/>
      <c r="G58" s="14"/>
      <c r="H58" s="14"/>
      <c r="I58" s="14"/>
      <c r="J58" s="14"/>
      <c r="K58" s="14"/>
      <c r="L58" s="14"/>
      <c r="M58" s="14"/>
    </row>
    <row r="59" spans="1:13" x14ac:dyDescent="0.2">
      <c r="A59" s="1"/>
      <c r="B59" s="1"/>
      <c r="C59" s="4"/>
      <c r="D59" s="4"/>
      <c r="E59" s="6"/>
      <c r="F59" s="14"/>
      <c r="G59" s="14"/>
      <c r="H59" s="14"/>
      <c r="I59" s="14"/>
      <c r="J59" s="14"/>
      <c r="K59" s="14"/>
      <c r="L59" s="14"/>
      <c r="M59" s="14"/>
    </row>
    <row r="60" spans="1:13" x14ac:dyDescent="0.2">
      <c r="A60" s="1"/>
      <c r="B60" s="1"/>
      <c r="C60" s="4"/>
      <c r="D60" s="4"/>
      <c r="E60" s="6"/>
      <c r="F60" s="14"/>
      <c r="G60" s="14"/>
      <c r="H60" s="14"/>
      <c r="I60" s="14"/>
      <c r="J60" s="14"/>
      <c r="K60" s="14"/>
      <c r="L60" s="14"/>
      <c r="M60" s="14"/>
    </row>
    <row r="61" spans="1:13" x14ac:dyDescent="0.2">
      <c r="A61" s="1"/>
      <c r="B61" s="6"/>
      <c r="C61" s="4"/>
      <c r="D61" s="4"/>
      <c r="E61" s="6"/>
      <c r="F61" s="14"/>
      <c r="G61" s="14"/>
      <c r="H61" s="14"/>
      <c r="I61" s="14"/>
      <c r="J61" s="14"/>
      <c r="K61" s="14"/>
      <c r="L61" s="14"/>
      <c r="M61" s="14"/>
    </row>
    <row r="62" spans="1:13" x14ac:dyDescent="0.2">
      <c r="A62" s="1"/>
      <c r="B62" s="6"/>
      <c r="C62" s="4"/>
      <c r="D62" s="4"/>
      <c r="E62" s="6"/>
      <c r="F62" s="14"/>
      <c r="G62" s="14"/>
      <c r="H62" s="14"/>
      <c r="I62" s="14"/>
      <c r="J62" s="14"/>
      <c r="K62" s="14"/>
      <c r="L62" s="14"/>
      <c r="M62" s="14"/>
    </row>
    <row r="63" spans="1:13" x14ac:dyDescent="0.2">
      <c r="A63" s="1"/>
      <c r="B63" s="6"/>
      <c r="C63" s="4"/>
      <c r="D63" s="4"/>
      <c r="E63" s="6"/>
      <c r="F63" s="14"/>
      <c r="G63" s="14"/>
      <c r="H63" s="14"/>
      <c r="I63" s="14"/>
      <c r="J63" s="14"/>
      <c r="K63" s="14"/>
      <c r="L63" s="14"/>
      <c r="M63" s="14"/>
    </row>
    <row r="64" spans="1:13" x14ac:dyDescent="0.2">
      <c r="A64" s="1"/>
      <c r="B64" s="6"/>
      <c r="C64" s="4"/>
      <c r="D64" s="4"/>
      <c r="E64" s="6"/>
      <c r="F64" s="14"/>
      <c r="G64" s="14"/>
      <c r="H64" s="14"/>
      <c r="I64" s="14"/>
      <c r="J64" s="14"/>
      <c r="K64" s="14"/>
      <c r="L64" s="14"/>
      <c r="M64" s="14"/>
    </row>
    <row r="65" spans="1:13" x14ac:dyDescent="0.2">
      <c r="A65" s="1"/>
      <c r="B65" s="1"/>
      <c r="C65" s="4"/>
      <c r="D65" s="4"/>
      <c r="E65" s="6"/>
      <c r="F65" s="14"/>
      <c r="G65" s="14"/>
      <c r="H65" s="14"/>
      <c r="I65" s="14"/>
      <c r="J65" s="14"/>
      <c r="K65" s="14"/>
      <c r="L65" s="14"/>
      <c r="M65" s="14"/>
    </row>
    <row r="66" spans="1:13" x14ac:dyDescent="0.2">
      <c r="A66" s="1"/>
      <c r="B66" s="1"/>
      <c r="C66" s="4"/>
      <c r="D66" s="4"/>
      <c r="E66" s="6"/>
      <c r="F66" s="14"/>
      <c r="G66" s="14"/>
      <c r="H66" s="14"/>
      <c r="I66" s="14"/>
      <c r="J66" s="14"/>
      <c r="K66" s="14"/>
      <c r="L66" s="14"/>
      <c r="M66" s="14"/>
    </row>
    <row r="67" spans="1:13" x14ac:dyDescent="0.2">
      <c r="A67" s="1"/>
      <c r="B67" s="6"/>
      <c r="C67" s="4"/>
      <c r="D67" s="4"/>
      <c r="E67" s="6"/>
      <c r="F67" s="14"/>
      <c r="G67" s="14"/>
      <c r="H67" s="14"/>
      <c r="I67" s="14"/>
      <c r="J67" s="14"/>
      <c r="K67" s="14"/>
      <c r="L67" s="14"/>
      <c r="M67" s="14"/>
    </row>
    <row r="68" spans="1:13" x14ac:dyDescent="0.2">
      <c r="A68" s="1"/>
      <c r="B68" s="6"/>
      <c r="C68" s="4"/>
      <c r="D68" s="4"/>
      <c r="E68" s="6"/>
      <c r="F68" s="14"/>
      <c r="G68" s="14"/>
      <c r="H68" s="14"/>
      <c r="I68" s="14"/>
      <c r="J68" s="14"/>
      <c r="K68" s="14"/>
      <c r="L68" s="14"/>
      <c r="M68" s="14"/>
    </row>
    <row r="69" spans="1:13" x14ac:dyDescent="0.2">
      <c r="A69" s="1"/>
      <c r="B69" s="6"/>
      <c r="C69" s="4"/>
      <c r="D69" s="4"/>
      <c r="E69" s="6"/>
      <c r="F69" s="14"/>
      <c r="G69" s="14"/>
      <c r="H69" s="14"/>
      <c r="I69" s="14"/>
      <c r="J69" s="14"/>
      <c r="K69" s="14"/>
      <c r="L69" s="14"/>
      <c r="M69" s="14"/>
    </row>
    <row r="70" spans="1:13" x14ac:dyDescent="0.2">
      <c r="A70" s="1"/>
      <c r="B70" s="6"/>
      <c r="C70" s="4"/>
      <c r="D70" s="4"/>
      <c r="E70" s="6"/>
      <c r="F70" s="14"/>
      <c r="G70" s="14"/>
      <c r="H70" s="14"/>
      <c r="I70" s="14"/>
      <c r="J70" s="14"/>
      <c r="K70" s="14"/>
      <c r="L70" s="14"/>
      <c r="M70" s="14"/>
    </row>
    <row r="71" spans="1:13" x14ac:dyDescent="0.2">
      <c r="A71" s="1"/>
      <c r="B71" s="6"/>
      <c r="C71" s="4"/>
      <c r="D71" s="4"/>
      <c r="E71" s="6"/>
      <c r="F71" s="14"/>
      <c r="G71" s="14"/>
      <c r="H71" s="14"/>
      <c r="I71" s="14"/>
      <c r="J71" s="14"/>
      <c r="K71" s="14"/>
      <c r="L71" s="14"/>
      <c r="M71" s="14"/>
    </row>
    <row r="72" spans="1:13" x14ac:dyDescent="0.2">
      <c r="A72" s="1"/>
      <c r="B72" s="7"/>
      <c r="C72" s="4"/>
      <c r="D72" s="4"/>
      <c r="E72" s="6"/>
      <c r="F72" s="14"/>
      <c r="G72" s="14"/>
      <c r="H72" s="14"/>
      <c r="I72" s="14"/>
      <c r="J72" s="14"/>
      <c r="K72" s="14"/>
      <c r="L72" s="14"/>
      <c r="M72" s="14"/>
    </row>
    <row r="73" spans="1:13" x14ac:dyDescent="0.2">
      <c r="A73" s="2"/>
      <c r="B73" s="1"/>
      <c r="C73" s="4"/>
      <c r="D73" s="4"/>
      <c r="E73" s="1"/>
      <c r="F73" s="14"/>
      <c r="G73" s="14"/>
      <c r="H73" s="14"/>
      <c r="I73" s="14"/>
      <c r="J73" s="14"/>
      <c r="K73" s="14"/>
      <c r="L73" s="14"/>
      <c r="M73" s="14"/>
    </row>
    <row r="74" spans="1:13" x14ac:dyDescent="0.2">
      <c r="A74" s="2"/>
      <c r="B74" s="1"/>
      <c r="C74" s="4"/>
      <c r="D74" s="4"/>
      <c r="E74" s="1"/>
      <c r="F74" s="14"/>
      <c r="G74" s="14"/>
      <c r="H74" s="14"/>
      <c r="I74" s="14"/>
      <c r="J74" s="14"/>
      <c r="K74" s="14"/>
      <c r="L74" s="14"/>
      <c r="M74" s="14"/>
    </row>
    <row r="75" spans="1:13" x14ac:dyDescent="0.2">
      <c r="A75" s="2"/>
      <c r="B75" s="1"/>
      <c r="C75" s="4"/>
      <c r="D75" s="4"/>
      <c r="E75" s="1"/>
      <c r="F75" s="14"/>
      <c r="G75" s="14"/>
      <c r="H75" s="14"/>
      <c r="I75" s="14"/>
      <c r="J75" s="14"/>
      <c r="K75" s="14"/>
      <c r="L75" s="14"/>
      <c r="M75" s="14"/>
    </row>
    <row r="76" spans="1:13" x14ac:dyDescent="0.2">
      <c r="A76" s="2"/>
      <c r="B76" s="1"/>
      <c r="C76" s="4"/>
      <c r="D76" s="4"/>
      <c r="E76" s="1"/>
      <c r="F76" s="14"/>
      <c r="G76" s="14"/>
      <c r="H76" s="14"/>
      <c r="I76" s="14"/>
      <c r="J76" s="14"/>
      <c r="K76" s="14"/>
      <c r="L76" s="14"/>
      <c r="M76" s="14"/>
    </row>
    <row r="77" spans="1:13" x14ac:dyDescent="0.2">
      <c r="A77" s="2"/>
      <c r="B77" s="6"/>
      <c r="C77" s="4"/>
      <c r="D77" s="4"/>
      <c r="E77" s="6"/>
      <c r="F77" s="14"/>
      <c r="G77" s="14"/>
      <c r="H77" s="14"/>
      <c r="I77" s="14"/>
      <c r="J77" s="14"/>
      <c r="K77" s="14"/>
      <c r="L77" s="14"/>
      <c r="M77" s="14"/>
    </row>
    <row r="78" spans="1:13" x14ac:dyDescent="0.2">
      <c r="A78" s="2"/>
      <c r="B78" s="1"/>
      <c r="C78" s="4"/>
      <c r="D78" s="4"/>
      <c r="E78" s="1"/>
      <c r="F78" s="14"/>
      <c r="G78" s="14"/>
      <c r="H78" s="14"/>
      <c r="I78" s="14"/>
      <c r="J78" s="14"/>
      <c r="K78" s="14"/>
      <c r="L78" s="14"/>
      <c r="M78" s="14"/>
    </row>
    <row r="79" spans="1:13" x14ac:dyDescent="0.2">
      <c r="A79" s="2"/>
      <c r="B79" s="1"/>
      <c r="C79" s="4"/>
      <c r="D79" s="4"/>
      <c r="E79" s="1"/>
      <c r="F79" s="14"/>
      <c r="G79" s="14"/>
      <c r="H79" s="14"/>
      <c r="I79" s="14"/>
      <c r="J79" s="14"/>
      <c r="K79" s="14"/>
      <c r="L79" s="14"/>
      <c r="M79" s="14"/>
    </row>
    <row r="80" spans="1:13" x14ac:dyDescent="0.2">
      <c r="A80" s="2"/>
      <c r="B80" s="1"/>
      <c r="C80" s="4"/>
      <c r="D80" s="4"/>
      <c r="E80" s="1"/>
      <c r="F80" s="14"/>
      <c r="G80" s="14"/>
      <c r="H80" s="14"/>
      <c r="I80" s="14"/>
      <c r="J80" s="14"/>
      <c r="K80" s="14"/>
      <c r="L80" s="14"/>
      <c r="M80" s="14"/>
    </row>
    <row r="81" spans="1:13" x14ac:dyDescent="0.2">
      <c r="A81" s="2"/>
      <c r="B81" s="1"/>
      <c r="C81" s="4"/>
      <c r="D81" s="4"/>
      <c r="E81" s="1"/>
      <c r="F81" s="14"/>
      <c r="G81" s="14"/>
      <c r="H81" s="14"/>
      <c r="I81" s="14"/>
      <c r="J81" s="14"/>
      <c r="K81" s="14"/>
      <c r="L81" s="14"/>
      <c r="M81" s="14"/>
    </row>
    <row r="82" spans="1:13" x14ac:dyDescent="0.2">
      <c r="A82" s="2"/>
      <c r="B82" s="1"/>
      <c r="C82" s="4"/>
      <c r="D82" s="4"/>
      <c r="E82" s="1"/>
      <c r="F82" s="14"/>
      <c r="G82" s="14"/>
      <c r="H82" s="14"/>
      <c r="I82" s="14"/>
      <c r="J82" s="14"/>
      <c r="K82" s="14"/>
      <c r="L82" s="14"/>
      <c r="M82" s="14"/>
    </row>
    <row r="83" spans="1:13" x14ac:dyDescent="0.2">
      <c r="A83" s="2"/>
      <c r="B83" s="1"/>
      <c r="C83" s="4"/>
      <c r="D83" s="4"/>
      <c r="E83" s="1"/>
      <c r="F83" s="14"/>
      <c r="G83" s="14"/>
      <c r="H83" s="14"/>
      <c r="I83" s="14"/>
      <c r="J83" s="14"/>
      <c r="K83" s="14"/>
      <c r="L83" s="14"/>
      <c r="M83" s="14"/>
    </row>
    <row r="84" spans="1:13" x14ac:dyDescent="0.2">
      <c r="A84" s="2"/>
      <c r="B84" s="6"/>
      <c r="C84" s="4"/>
      <c r="D84" s="4"/>
      <c r="E84" s="6"/>
      <c r="F84" s="14"/>
      <c r="G84" s="14"/>
      <c r="H84" s="14"/>
      <c r="I84" s="14"/>
      <c r="J84" s="14"/>
      <c r="K84" s="14"/>
      <c r="L84" s="14"/>
      <c r="M84" s="14"/>
    </row>
    <row r="85" spans="1:13" x14ac:dyDescent="0.2">
      <c r="A85" s="2"/>
      <c r="B85" s="6"/>
      <c r="C85" s="4"/>
      <c r="D85" s="4"/>
      <c r="E85" s="6"/>
      <c r="F85" s="14"/>
      <c r="G85" s="14"/>
      <c r="H85" s="14"/>
      <c r="I85" s="14"/>
      <c r="J85" s="14"/>
      <c r="K85" s="14"/>
      <c r="L85" s="14"/>
      <c r="M85" s="14"/>
    </row>
    <row r="86" spans="1:13" x14ac:dyDescent="0.2">
      <c r="A86" s="2"/>
      <c r="B86" s="6"/>
      <c r="C86" s="4"/>
      <c r="D86" s="4"/>
      <c r="E86" s="6"/>
      <c r="F86" s="14"/>
      <c r="G86" s="14"/>
      <c r="H86" s="14"/>
      <c r="I86" s="14"/>
      <c r="J86" s="14"/>
      <c r="K86" s="14"/>
      <c r="L86" s="14"/>
      <c r="M86" s="14"/>
    </row>
    <row r="87" spans="1:13" x14ac:dyDescent="0.2">
      <c r="A87" s="2"/>
      <c r="B87" s="1"/>
      <c r="C87" s="4"/>
      <c r="D87" s="4"/>
      <c r="E87" s="1"/>
      <c r="F87" s="14"/>
      <c r="G87" s="14"/>
      <c r="H87" s="14"/>
      <c r="I87" s="14"/>
      <c r="J87" s="14"/>
      <c r="K87" s="14"/>
      <c r="L87" s="14"/>
      <c r="M87" s="14"/>
    </row>
    <row r="88" spans="1:13" x14ac:dyDescent="0.2">
      <c r="A88" s="2"/>
      <c r="B88" s="15"/>
      <c r="C88" s="4"/>
      <c r="D88" s="4"/>
      <c r="E88" s="2"/>
      <c r="F88" s="14"/>
      <c r="G88" s="14"/>
      <c r="H88" s="14"/>
      <c r="I88" s="14"/>
      <c r="J88" s="14"/>
      <c r="K88" s="14"/>
      <c r="L88" s="14"/>
      <c r="M88" s="14"/>
    </row>
    <row r="89" spans="1:13" x14ac:dyDescent="0.2">
      <c r="A89" s="2"/>
      <c r="B89" s="16"/>
      <c r="C89" s="4"/>
      <c r="D89" s="4"/>
      <c r="E89" s="2"/>
      <c r="F89" s="14"/>
      <c r="G89" s="14"/>
      <c r="H89" s="14"/>
      <c r="I89" s="14"/>
      <c r="J89" s="14"/>
      <c r="K89" s="14"/>
      <c r="L89" s="14"/>
      <c r="M89" s="14"/>
    </row>
    <row r="90" spans="1:13" x14ac:dyDescent="0.2">
      <c r="A90" s="2"/>
      <c r="B90" s="16"/>
      <c r="C90" s="4"/>
      <c r="D90" s="4"/>
      <c r="E90" s="2"/>
      <c r="F90" s="14"/>
      <c r="G90" s="14"/>
      <c r="H90" s="14"/>
      <c r="I90" s="14"/>
      <c r="J90" s="14"/>
      <c r="K90" s="14"/>
      <c r="L90" s="14"/>
      <c r="M90" s="14"/>
    </row>
    <row r="91" spans="1:13" x14ac:dyDescent="0.2">
      <c r="A91" s="2"/>
      <c r="B91" s="16"/>
      <c r="C91" s="4"/>
      <c r="D91" s="4"/>
      <c r="E91" s="2"/>
      <c r="F91" s="14"/>
      <c r="G91" s="14"/>
      <c r="H91" s="14"/>
      <c r="I91" s="14"/>
      <c r="J91" s="14"/>
      <c r="K91" s="14"/>
      <c r="L91" s="14"/>
      <c r="M91" s="14"/>
    </row>
    <row r="92" spans="1:13" x14ac:dyDescent="0.2">
      <c r="A92" s="2"/>
      <c r="B92" s="16"/>
      <c r="C92" s="4"/>
      <c r="D92" s="4"/>
      <c r="E92" s="2"/>
      <c r="F92" s="14"/>
      <c r="G92" s="14"/>
      <c r="H92" s="14"/>
      <c r="I92" s="14"/>
      <c r="J92" s="14"/>
      <c r="K92" s="14"/>
      <c r="L92" s="14"/>
      <c r="M92" s="14"/>
    </row>
    <row r="93" spans="1:13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x14ac:dyDescent="0.2">
      <c r="A135" s="14"/>
      <c r="B135" s="14"/>
      <c r="C135" s="14"/>
      <c r="D135" s="14"/>
      <c r="E135" s="14"/>
      <c r="F135" s="14"/>
    </row>
    <row r="136" spans="1:13" x14ac:dyDescent="0.2">
      <c r="A136" s="14"/>
      <c r="B136" s="14"/>
      <c r="C136" s="14"/>
      <c r="D136" s="14"/>
      <c r="E136" s="14"/>
      <c r="F136" s="14"/>
    </row>
    <row r="137" spans="1:13" x14ac:dyDescent="0.2">
      <c r="A137" s="14"/>
      <c r="B137" s="14"/>
      <c r="C137" s="14"/>
      <c r="D137" s="14"/>
      <c r="E137" s="14"/>
      <c r="F137" s="14"/>
    </row>
    <row r="138" spans="1:13" x14ac:dyDescent="0.2">
      <c r="A138" s="14"/>
      <c r="B138" s="14"/>
      <c r="C138" s="14"/>
      <c r="D138" s="14"/>
      <c r="E138" s="14"/>
      <c r="F138" s="14"/>
    </row>
  </sheetData>
  <conditionalFormatting sqref="B1:B20 D2:D35 B22:B28 B30:B1048576">
    <cfRule type="containsText" dxfId="48" priority="3" operator="containsText" text="NIKDO">
      <formula>NOT(ISERROR(SEARCH("NIKDO",B1)))</formula>
    </cfRule>
  </conditionalFormatting>
  <conditionalFormatting sqref="F2:F35">
    <cfRule type="containsText" dxfId="47" priority="2" operator="containsText" text="FALSE">
      <formula>NOT(ISERROR(SEARCH("FALSE",F2)))</formula>
    </cfRule>
  </conditionalFormatting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B8A6-773C-BE4C-82BF-CF295D7ECC9A}">
  <sheetPr codeName="List4"/>
  <dimension ref="A1:M118"/>
  <sheetViews>
    <sheetView zoomScale="150" workbookViewId="0">
      <selection activeCell="F2" sqref="F2"/>
    </sheetView>
  </sheetViews>
  <sheetFormatPr baseColWidth="10" defaultColWidth="11" defaultRowHeight="16" x14ac:dyDescent="0.2"/>
  <cols>
    <col min="1" max="1" width="18.6640625" bestFit="1" customWidth="1"/>
    <col min="2" max="2" width="14.1640625" bestFit="1" customWidth="1"/>
    <col min="5" max="5" width="17.6640625" bestFit="1" customWidth="1"/>
  </cols>
  <sheetData>
    <row r="1" spans="1:13" x14ac:dyDescent="0.2">
      <c r="A1" s="17" t="s">
        <v>4</v>
      </c>
      <c r="B1" s="3" t="s">
        <v>11</v>
      </c>
      <c r="C1" s="25" t="s">
        <v>12</v>
      </c>
      <c r="D1" s="25" t="s">
        <v>0</v>
      </c>
      <c r="E1" s="3" t="s">
        <v>19</v>
      </c>
      <c r="F1" s="25" t="s">
        <v>20</v>
      </c>
    </row>
    <row r="2" spans="1:13" x14ac:dyDescent="0.2">
      <c r="D2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" s="14" t="b">
        <f>EXACT(UPPER(II[[#This Row],[POSTAVA]]),UPPER(II[[#This Row],[KONTROLA DABÉRA]]))</f>
        <v>1</v>
      </c>
      <c r="G2" s="14"/>
      <c r="H2" s="14"/>
      <c r="I2" s="14"/>
      <c r="J2" s="14"/>
      <c r="K2" s="14"/>
      <c r="L2" s="14"/>
      <c r="M2" s="14"/>
    </row>
    <row r="3" spans="1:13" x14ac:dyDescent="0.2">
      <c r="D3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3" s="14" t="b">
        <f>EXACT(UPPER(II[[#This Row],[POSTAVA]]),UPPER(II[[#This Row],[KONTROLA DABÉRA]]))</f>
        <v>1</v>
      </c>
      <c r="G3" s="14"/>
      <c r="H3" s="14"/>
      <c r="I3" s="14"/>
      <c r="J3" s="14"/>
      <c r="K3" s="14"/>
      <c r="L3" s="14"/>
      <c r="M3" s="14"/>
    </row>
    <row r="4" spans="1:13" x14ac:dyDescent="0.2">
      <c r="D4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4" s="14" t="b">
        <f>EXACT(UPPER(II[[#This Row],[POSTAVA]]),UPPER(II[[#This Row],[KONTROLA DABÉRA]]))</f>
        <v>1</v>
      </c>
      <c r="G4" s="14"/>
      <c r="H4" s="14"/>
      <c r="I4" s="14"/>
      <c r="J4" s="14"/>
      <c r="K4" s="14"/>
      <c r="L4" s="14"/>
      <c r="M4" s="14"/>
    </row>
    <row r="5" spans="1:13" x14ac:dyDescent="0.2">
      <c r="D5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5" s="14" t="b">
        <f>EXACT(UPPER(II[[#This Row],[POSTAVA]]),UPPER(II[[#This Row],[KONTROLA DABÉRA]]))</f>
        <v>1</v>
      </c>
      <c r="G5" s="14"/>
      <c r="H5" s="14"/>
      <c r="I5" s="14"/>
      <c r="J5" s="14"/>
      <c r="K5" s="14"/>
      <c r="L5" s="14"/>
      <c r="M5" s="14"/>
    </row>
    <row r="6" spans="1:13" x14ac:dyDescent="0.2">
      <c r="D6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6" s="14" t="b">
        <f>EXACT(UPPER(II[[#This Row],[POSTAVA]]),UPPER(II[[#This Row],[KONTROLA DABÉRA]]))</f>
        <v>1</v>
      </c>
      <c r="G6" s="14"/>
      <c r="H6" s="14"/>
      <c r="I6" s="14"/>
      <c r="J6" s="14"/>
      <c r="K6" s="14"/>
      <c r="L6" s="14"/>
      <c r="M6" s="14"/>
    </row>
    <row r="7" spans="1:13" x14ac:dyDescent="0.2">
      <c r="D7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7" s="14" t="b">
        <f>EXACT(UPPER(II[[#This Row],[POSTAVA]]),UPPER(II[[#This Row],[KONTROLA DABÉRA]]))</f>
        <v>1</v>
      </c>
      <c r="G7" s="14"/>
      <c r="H7" s="14"/>
      <c r="I7" s="14"/>
      <c r="J7" s="14"/>
      <c r="K7" s="14"/>
      <c r="L7" s="14"/>
      <c r="M7" s="14"/>
    </row>
    <row r="8" spans="1:13" x14ac:dyDescent="0.2">
      <c r="D8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8" s="14" t="b">
        <f>EXACT(UPPER(II[[#This Row],[POSTAVA]]),UPPER(II[[#This Row],[KONTROLA DABÉRA]]))</f>
        <v>1</v>
      </c>
      <c r="G8" s="14"/>
      <c r="H8" s="14"/>
      <c r="I8" s="14"/>
      <c r="J8" s="14"/>
      <c r="K8" s="14"/>
      <c r="L8" s="14"/>
      <c r="M8" s="14"/>
    </row>
    <row r="9" spans="1:13" x14ac:dyDescent="0.2">
      <c r="D9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9" s="14" t="b">
        <f>EXACT(UPPER(II[[#This Row],[POSTAVA]]),UPPER(II[[#This Row],[KONTROLA DABÉRA]]))</f>
        <v>1</v>
      </c>
      <c r="G9" s="14"/>
      <c r="H9" s="14"/>
      <c r="I9" s="14"/>
      <c r="J9" s="14"/>
      <c r="K9" s="14"/>
      <c r="L9" s="14"/>
      <c r="M9" s="14"/>
    </row>
    <row r="10" spans="1:13" x14ac:dyDescent="0.2">
      <c r="D10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0" s="14" t="b">
        <f>EXACT(UPPER(II[[#This Row],[POSTAVA]]),UPPER(II[[#This Row],[KONTROLA DABÉRA]]))</f>
        <v>1</v>
      </c>
      <c r="G10" s="14"/>
      <c r="H10" s="14"/>
      <c r="I10" s="14"/>
      <c r="J10" s="14"/>
      <c r="K10" s="14"/>
      <c r="L10" s="14"/>
      <c r="M10" s="14"/>
    </row>
    <row r="11" spans="1:13" x14ac:dyDescent="0.2">
      <c r="D11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1" s="14" t="b">
        <f>EXACT(UPPER(II[[#This Row],[POSTAVA]]),UPPER(II[[#This Row],[KONTROLA DABÉRA]]))</f>
        <v>1</v>
      </c>
      <c r="G11" s="14"/>
      <c r="H11" s="14"/>
      <c r="I11" s="14"/>
      <c r="J11" s="14"/>
      <c r="K11" s="14"/>
      <c r="L11" s="14"/>
      <c r="M11" s="14"/>
    </row>
    <row r="12" spans="1:13" x14ac:dyDescent="0.2">
      <c r="D12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2" s="14" t="b">
        <f>EXACT(UPPER(II[[#This Row],[POSTAVA]]),UPPER(II[[#This Row],[KONTROLA DABÉRA]]))</f>
        <v>1</v>
      </c>
      <c r="G12" s="14"/>
      <c r="H12" s="14"/>
      <c r="I12" s="14"/>
      <c r="J12" s="14"/>
      <c r="K12" s="14"/>
      <c r="L12" s="14"/>
      <c r="M12" s="14"/>
    </row>
    <row r="13" spans="1:13" x14ac:dyDescent="0.2">
      <c r="D13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3" s="14" t="b">
        <f>EXACT(UPPER(II[[#This Row],[POSTAVA]]),UPPER(II[[#This Row],[KONTROLA DABÉRA]]))</f>
        <v>1</v>
      </c>
      <c r="G13" s="14"/>
      <c r="H13" s="14"/>
      <c r="I13" s="14"/>
      <c r="J13" s="14"/>
      <c r="K13" s="14"/>
      <c r="L13" s="14"/>
      <c r="M13" s="14"/>
    </row>
    <row r="14" spans="1:13" x14ac:dyDescent="0.2">
      <c r="D14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4" s="14" t="b">
        <f>EXACT(UPPER(II[[#This Row],[POSTAVA]]),UPPER(II[[#This Row],[KONTROLA DABÉRA]]))</f>
        <v>1</v>
      </c>
      <c r="G14" s="14"/>
      <c r="H14" s="14"/>
      <c r="I14" s="14"/>
      <c r="J14" s="14"/>
      <c r="K14" s="14"/>
      <c r="L14" s="14"/>
      <c r="M14" s="14"/>
    </row>
    <row r="15" spans="1:13" x14ac:dyDescent="0.2">
      <c r="D15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5" s="14" t="b">
        <f>EXACT(UPPER(II[[#This Row],[POSTAVA]]),UPPER(II[[#This Row],[KONTROLA DABÉRA]]))</f>
        <v>1</v>
      </c>
      <c r="G15" s="14"/>
      <c r="H15" s="14"/>
      <c r="I15" s="14"/>
      <c r="J15" s="14"/>
      <c r="K15" s="14"/>
      <c r="L15" s="14"/>
      <c r="M15" s="14"/>
    </row>
    <row r="16" spans="1:13" x14ac:dyDescent="0.2">
      <c r="D16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6" s="14" t="b">
        <f>EXACT(UPPER(II[[#This Row],[POSTAVA]]),UPPER(II[[#This Row],[KONTROLA DABÉRA]]))</f>
        <v>1</v>
      </c>
      <c r="G16" s="14"/>
      <c r="H16" s="14"/>
      <c r="I16" s="14"/>
      <c r="J16" s="14"/>
      <c r="K16" s="14"/>
      <c r="L16" s="14"/>
      <c r="M16" s="14"/>
    </row>
    <row r="17" spans="1:13" x14ac:dyDescent="0.2">
      <c r="D17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7" s="14" t="b">
        <f>EXACT(UPPER(II[[#This Row],[POSTAVA]]),UPPER(II[[#This Row],[KONTROLA DABÉRA]]))</f>
        <v>1</v>
      </c>
      <c r="G17" s="14"/>
      <c r="H17" s="14"/>
      <c r="I17" s="14"/>
      <c r="J17" s="14"/>
      <c r="K17" s="14"/>
      <c r="L17" s="14"/>
      <c r="M17" s="14"/>
    </row>
    <row r="18" spans="1:13" x14ac:dyDescent="0.2">
      <c r="D18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8" s="14" t="b">
        <f>EXACT(UPPER(II[[#This Row],[POSTAVA]]),UPPER(II[[#This Row],[KONTROLA DABÉRA]]))</f>
        <v>1</v>
      </c>
      <c r="G18" s="14"/>
      <c r="H18" s="14"/>
      <c r="I18" s="14"/>
      <c r="J18" s="14"/>
      <c r="K18" s="14"/>
      <c r="L18" s="14"/>
      <c r="M18" s="14"/>
    </row>
    <row r="19" spans="1:13" x14ac:dyDescent="0.2">
      <c r="D19" s="8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19" s="14" t="b">
        <f>EXACT(UPPER(II[[#This Row],[POSTAVA]]),UPPER(II[[#This Row],[KONTROLA DABÉRA]]))</f>
        <v>1</v>
      </c>
      <c r="G19" s="14"/>
      <c r="H19" s="14"/>
      <c r="I19" s="14"/>
      <c r="J19" s="14"/>
      <c r="K19" s="14"/>
      <c r="L19" s="14"/>
      <c r="M19" s="14"/>
    </row>
    <row r="20" spans="1:13" x14ac:dyDescent="0.2">
      <c r="D20" s="8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0" s="14" t="b">
        <f>EXACT(UPPER(II[[#This Row],[POSTAVA]]),UPPER(II[[#This Row],[KONTROLA DABÉRA]]))</f>
        <v>1</v>
      </c>
      <c r="G20" s="14"/>
      <c r="H20" s="14"/>
      <c r="I20" s="14"/>
      <c r="J20" s="14"/>
      <c r="K20" s="14"/>
      <c r="L20" s="14"/>
      <c r="M20" s="14"/>
    </row>
    <row r="21" spans="1:13" x14ac:dyDescent="0.2">
      <c r="D21" s="8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1" s="14" t="b">
        <f>EXACT(UPPER(II[[#This Row],[POSTAVA]]),UPPER(II[[#This Row],[KONTROLA DABÉRA]]))</f>
        <v>1</v>
      </c>
      <c r="G21" s="14"/>
      <c r="H21" s="14"/>
      <c r="I21" s="14"/>
      <c r="J21" s="14"/>
      <c r="K21" s="14"/>
      <c r="L21" s="14"/>
      <c r="M21" s="14"/>
    </row>
    <row r="22" spans="1:13" x14ac:dyDescent="0.2">
      <c r="D22" s="8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2" s="14" t="b">
        <f>EXACT(UPPER(II[[#This Row],[POSTAVA]]),UPPER(II[[#This Row],[KONTROLA DABÉRA]]))</f>
        <v>1</v>
      </c>
      <c r="G22" s="14"/>
      <c r="H22" s="14"/>
      <c r="I22" s="14"/>
      <c r="J22" s="14"/>
      <c r="K22" s="14"/>
      <c r="L22" s="14"/>
      <c r="M22" s="14"/>
    </row>
    <row r="23" spans="1:13" x14ac:dyDescent="0.2">
      <c r="D23" s="8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3" s="14" t="b">
        <f>EXACT(UPPER(II[[#This Row],[POSTAVA]]),UPPER(II[[#This Row],[KONTROLA DABÉRA]]))</f>
        <v>1</v>
      </c>
      <c r="G23" s="14"/>
      <c r="H23" s="14"/>
      <c r="I23" s="14"/>
      <c r="J23" s="14"/>
      <c r="K23" s="14"/>
      <c r="L23" s="14"/>
      <c r="M23" s="14"/>
    </row>
    <row r="24" spans="1:13" x14ac:dyDescent="0.2">
      <c r="D24" s="8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4" s="14" t="b">
        <f>EXACT(UPPER(II[[#This Row],[POSTAVA]]),UPPER(II[[#This Row],[KONTROLA DABÉRA]]))</f>
        <v>1</v>
      </c>
      <c r="G24" s="14"/>
      <c r="H24" s="14"/>
      <c r="I24" s="14"/>
      <c r="J24" s="14"/>
      <c r="K24" s="14"/>
      <c r="L24" s="14"/>
      <c r="M24" s="14"/>
    </row>
    <row r="25" spans="1:13" x14ac:dyDescent="0.2">
      <c r="D25" s="8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5" s="14" t="b">
        <f>EXACT(UPPER(II[[#This Row],[POSTAVA]]),UPPER(II[[#This Row],[KONTROLA DABÉRA]]))</f>
        <v>1</v>
      </c>
      <c r="G25" s="14"/>
      <c r="H25" s="14"/>
      <c r="I25" s="14"/>
      <c r="J25" s="14"/>
      <c r="K25" s="14"/>
      <c r="L25" s="14"/>
      <c r="M25" s="14"/>
    </row>
    <row r="26" spans="1:13" x14ac:dyDescent="0.2">
      <c r="D26" s="14" t="str">
        <f>IF(_xlfn.XLOOKUP(II[[#This Row],[POSTAVA]],KOMPLET[POSTAVA],KOMPLET[DABÉR],"CHYBÍ POSTAVA V KOMPLET")=0,"NIKDO",_xlfn.XLOOKUP(II[[#This Row],[POSTAVA]],KOMPLET[POSTAVA],KOMPLET[DABÉR],"CHYBÍ POSTAVA V KOMPLET"))</f>
        <v>NIKDO</v>
      </c>
      <c r="F26" s="14" t="b">
        <f>EXACT(UPPER(II[[#This Row],[POSTAVA]]),UPPER(II[[#This Row],[KONTROLA DABÉRA]]))</f>
        <v>1</v>
      </c>
      <c r="G26" s="14"/>
      <c r="H26" s="14"/>
      <c r="I26" s="14"/>
      <c r="J26" s="14"/>
      <c r="K26" s="14"/>
      <c r="L26" s="14"/>
      <c r="M26" s="14"/>
    </row>
    <row r="27" spans="1:13" ht="17" x14ac:dyDescent="0.2">
      <c r="A27" s="1" t="s">
        <v>17</v>
      </c>
      <c r="B27" s="8">
        <f>SUBTOTAL(109,II[VSTUPY])</f>
        <v>0</v>
      </c>
      <c r="C27" s="4">
        <f>SUBTOTAL(9,II[REPLIKY])</f>
        <v>0</v>
      </c>
      <c r="D27" s="4">
        <f>SUBTOTAL(9,II[DABÉR])</f>
        <v>0</v>
      </c>
      <c r="E27" s="4"/>
      <c r="F27" s="4"/>
      <c r="G27" s="14"/>
      <c r="H27" s="14"/>
      <c r="I27" s="14"/>
      <c r="J27" s="14"/>
      <c r="K27" s="14"/>
      <c r="L27" s="14"/>
      <c r="M27" s="14"/>
    </row>
    <row r="28" spans="1:13" x14ac:dyDescent="0.2">
      <c r="A28" s="4"/>
      <c r="B28" s="1"/>
      <c r="C28" s="4"/>
      <c r="D28" s="4"/>
      <c r="E28" s="2"/>
      <c r="F28" s="14"/>
      <c r="G28" s="14"/>
      <c r="H28" s="14"/>
      <c r="I28" s="14"/>
      <c r="J28" s="14"/>
      <c r="K28" s="14"/>
      <c r="L28" s="14"/>
      <c r="M28" s="14"/>
    </row>
    <row r="29" spans="1:13" x14ac:dyDescent="0.2">
      <c r="A29" s="4"/>
      <c r="B29" s="1"/>
      <c r="C29" s="4"/>
      <c r="D29" s="4"/>
      <c r="E29" s="2"/>
      <c r="F29" s="14"/>
      <c r="G29" s="14"/>
      <c r="H29" s="14"/>
      <c r="I29" s="14"/>
      <c r="J29" s="14"/>
      <c r="K29" s="14"/>
      <c r="L29" s="14"/>
      <c r="M29" s="14"/>
    </row>
    <row r="30" spans="1:13" x14ac:dyDescent="0.2">
      <c r="A30" s="4"/>
      <c r="B30" s="1"/>
      <c r="C30" s="4"/>
      <c r="D30" s="4"/>
      <c r="E30" s="2"/>
      <c r="F30" s="14"/>
      <c r="G30" s="14"/>
      <c r="H30" s="14"/>
      <c r="I30" s="14"/>
      <c r="J30" s="14"/>
      <c r="K30" s="14"/>
      <c r="L30" s="14"/>
      <c r="M30" s="14"/>
    </row>
    <row r="31" spans="1:13" x14ac:dyDescent="0.2">
      <c r="A31" s="4"/>
      <c r="B31" s="6"/>
      <c r="C31" s="4"/>
      <c r="D31" s="4"/>
      <c r="E31" s="2"/>
      <c r="F31" s="14"/>
      <c r="G31" s="14"/>
      <c r="H31" s="14"/>
      <c r="I31" s="14"/>
      <c r="J31" s="14"/>
      <c r="K31" s="14"/>
      <c r="L31" s="14"/>
      <c r="M31" s="14"/>
    </row>
    <row r="32" spans="1:13" x14ac:dyDescent="0.2">
      <c r="A32" s="4"/>
      <c r="B32" s="1"/>
      <c r="C32" s="4"/>
      <c r="D32" s="4"/>
      <c r="E32" s="2"/>
      <c r="F32" s="14"/>
      <c r="G32" s="14"/>
      <c r="H32" s="14"/>
      <c r="I32" s="14"/>
      <c r="J32" s="14"/>
      <c r="K32" s="14"/>
      <c r="L32" s="14"/>
      <c r="M32" s="14"/>
    </row>
    <row r="33" spans="1:13" x14ac:dyDescent="0.2">
      <c r="A33" s="4"/>
      <c r="B33" s="6"/>
      <c r="C33" s="4"/>
      <c r="D33" s="4"/>
      <c r="E33" s="2"/>
      <c r="F33" s="14"/>
      <c r="G33" s="14"/>
      <c r="H33" s="14"/>
      <c r="I33" s="14"/>
      <c r="J33" s="14"/>
      <c r="K33" s="14"/>
      <c r="L33" s="14"/>
      <c r="M33" s="14"/>
    </row>
    <row r="34" spans="1:13" x14ac:dyDescent="0.2">
      <c r="A34" s="4"/>
      <c r="B34" s="7"/>
      <c r="C34" s="4"/>
      <c r="D34" s="4"/>
      <c r="E34" s="2"/>
      <c r="F34" s="14"/>
      <c r="G34" s="14"/>
      <c r="H34" s="14"/>
      <c r="I34" s="14"/>
      <c r="J34" s="14"/>
      <c r="K34" s="14"/>
      <c r="L34" s="14"/>
      <c r="M34" s="14"/>
    </row>
    <row r="35" spans="1:13" x14ac:dyDescent="0.2">
      <c r="A35" s="4"/>
      <c r="B35" s="1"/>
      <c r="C35" s="4"/>
      <c r="D35" s="4"/>
      <c r="E35" s="2"/>
      <c r="F35" s="14"/>
      <c r="G35" s="14"/>
      <c r="H35" s="14"/>
      <c r="I35" s="14"/>
      <c r="J35" s="14"/>
      <c r="K35" s="14"/>
      <c r="L35" s="14"/>
      <c r="M35" s="14"/>
    </row>
    <row r="36" spans="1:13" x14ac:dyDescent="0.2">
      <c r="A36" s="4"/>
      <c r="B36" s="1"/>
      <c r="C36" s="4"/>
      <c r="D36" s="4"/>
      <c r="E36" s="2"/>
      <c r="F36" s="14"/>
      <c r="G36" s="14"/>
      <c r="H36" s="14"/>
      <c r="I36" s="14"/>
      <c r="J36" s="14"/>
      <c r="K36" s="14"/>
      <c r="L36" s="14"/>
      <c r="M36" s="14"/>
    </row>
    <row r="37" spans="1:13" x14ac:dyDescent="0.2">
      <c r="A37" s="4"/>
      <c r="B37" s="1"/>
      <c r="C37" s="4"/>
      <c r="D37" s="4"/>
      <c r="E37" s="2"/>
      <c r="F37" s="14"/>
      <c r="G37" s="14"/>
      <c r="H37" s="14"/>
      <c r="I37" s="14"/>
      <c r="J37" s="14"/>
      <c r="K37" s="14"/>
      <c r="L37" s="14"/>
      <c r="M37" s="14"/>
    </row>
    <row r="38" spans="1:13" x14ac:dyDescent="0.2">
      <c r="A38" s="4"/>
      <c r="B38" s="1"/>
      <c r="C38" s="4"/>
      <c r="D38" s="4"/>
      <c r="E38" s="2"/>
      <c r="F38" s="14"/>
      <c r="G38" s="14"/>
      <c r="H38" s="14"/>
      <c r="I38" s="14"/>
      <c r="J38" s="14"/>
      <c r="K38" s="14"/>
      <c r="L38" s="14"/>
      <c r="M38" s="14"/>
    </row>
    <row r="39" spans="1:13" x14ac:dyDescent="0.2">
      <c r="A39" s="4"/>
      <c r="B39" s="1"/>
      <c r="C39" s="4"/>
      <c r="D39" s="4"/>
      <c r="E39" s="2"/>
      <c r="F39" s="14"/>
      <c r="G39" s="14"/>
      <c r="H39" s="14"/>
      <c r="I39" s="14"/>
      <c r="J39" s="14"/>
      <c r="K39" s="14"/>
      <c r="L39" s="14"/>
      <c r="M39" s="14"/>
    </row>
    <row r="40" spans="1:13" x14ac:dyDescent="0.2">
      <c r="A40" s="4"/>
      <c r="B40" s="1"/>
      <c r="C40" s="4"/>
      <c r="D40" s="4"/>
      <c r="E40" s="2"/>
      <c r="F40" s="14"/>
      <c r="G40" s="14"/>
      <c r="H40" s="14"/>
      <c r="I40" s="14"/>
      <c r="J40" s="14"/>
      <c r="K40" s="14"/>
      <c r="L40" s="14"/>
      <c r="M40" s="14"/>
    </row>
    <row r="41" spans="1:13" x14ac:dyDescent="0.2">
      <c r="A41" s="4"/>
      <c r="B41" s="1"/>
      <c r="C41" s="4"/>
      <c r="D41" s="4"/>
      <c r="E41" s="2"/>
      <c r="F41" s="14"/>
      <c r="G41" s="14"/>
      <c r="H41" s="14"/>
      <c r="I41" s="14"/>
      <c r="J41" s="14"/>
      <c r="K41" s="14"/>
      <c r="L41" s="14"/>
      <c r="M41" s="14"/>
    </row>
    <row r="42" spans="1:13" x14ac:dyDescent="0.2">
      <c r="A42" s="4"/>
      <c r="B42" s="6"/>
      <c r="C42" s="4"/>
      <c r="D42" s="4"/>
      <c r="E42" s="2"/>
      <c r="F42" s="14"/>
      <c r="G42" s="14"/>
      <c r="H42" s="14"/>
      <c r="I42" s="14"/>
      <c r="J42" s="14"/>
      <c r="K42" s="14"/>
      <c r="L42" s="14"/>
      <c r="M42" s="14"/>
    </row>
    <row r="43" spans="1:13" x14ac:dyDescent="0.2">
      <c r="A43" s="4"/>
      <c r="B43" s="1"/>
      <c r="C43" s="4"/>
      <c r="D43" s="4"/>
      <c r="E43" s="2"/>
      <c r="F43" s="14"/>
      <c r="G43" s="14"/>
      <c r="H43" s="14"/>
      <c r="I43" s="14"/>
      <c r="J43" s="14"/>
      <c r="K43" s="14"/>
      <c r="L43" s="14"/>
      <c r="M43" s="14"/>
    </row>
    <row r="44" spans="1:13" x14ac:dyDescent="0.2">
      <c r="A44" s="4"/>
      <c r="B44" s="6"/>
      <c r="C44" s="4"/>
      <c r="D44" s="4"/>
      <c r="E44" s="2"/>
      <c r="F44" s="14"/>
      <c r="G44" s="14"/>
      <c r="H44" s="14"/>
      <c r="I44" s="14"/>
      <c r="J44" s="14"/>
      <c r="K44" s="14"/>
      <c r="L44" s="14"/>
      <c r="M44" s="14"/>
    </row>
    <row r="45" spans="1:13" x14ac:dyDescent="0.2">
      <c r="A45" s="4"/>
      <c r="B45" s="1"/>
      <c r="C45" s="4"/>
      <c r="D45" s="4"/>
      <c r="E45" s="2"/>
      <c r="F45" s="14"/>
      <c r="G45" s="14"/>
      <c r="H45" s="14"/>
      <c r="I45" s="14"/>
      <c r="J45" s="14"/>
      <c r="K45" s="14"/>
      <c r="L45" s="14"/>
      <c r="M45" s="14"/>
    </row>
    <row r="46" spans="1:13" x14ac:dyDescent="0.2">
      <c r="A46" s="4"/>
      <c r="B46" s="8"/>
      <c r="C46" s="4"/>
      <c r="D46" s="4"/>
      <c r="E46" s="2"/>
      <c r="F46" s="14"/>
      <c r="G46" s="14"/>
      <c r="H46" s="14"/>
      <c r="I46" s="14"/>
      <c r="J46" s="14"/>
      <c r="K46" s="14"/>
      <c r="L46" s="14"/>
      <c r="M46" s="14"/>
    </row>
    <row r="47" spans="1:13" x14ac:dyDescent="0.2">
      <c r="A47" s="4"/>
      <c r="B47" s="8"/>
      <c r="C47" s="4"/>
      <c r="D47" s="4"/>
      <c r="E47" s="2"/>
      <c r="F47" s="14"/>
      <c r="G47" s="14"/>
      <c r="H47" s="14"/>
      <c r="I47" s="14"/>
      <c r="J47" s="14"/>
      <c r="K47" s="14"/>
      <c r="L47" s="14"/>
      <c r="M47" s="14"/>
    </row>
    <row r="48" spans="1:13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">
      <c r="A111" s="14"/>
      <c r="B111" s="14"/>
      <c r="C111" s="14"/>
      <c r="D111" s="14"/>
      <c r="E111" s="14"/>
      <c r="F111" s="14"/>
    </row>
    <row r="112" spans="1:13" x14ac:dyDescent="0.2">
      <c r="A112" s="14"/>
      <c r="B112" s="14"/>
      <c r="C112" s="14"/>
      <c r="D112" s="14"/>
      <c r="E112" s="14"/>
      <c r="F112" s="14"/>
    </row>
    <row r="113" spans="1:6" x14ac:dyDescent="0.2">
      <c r="A113" s="14"/>
      <c r="B113" s="14"/>
      <c r="C113" s="14"/>
      <c r="D113" s="14"/>
      <c r="E113" s="14"/>
      <c r="F113" s="14"/>
    </row>
    <row r="114" spans="1:6" x14ac:dyDescent="0.2">
      <c r="A114" s="14"/>
      <c r="B114" s="14"/>
      <c r="C114" s="14"/>
      <c r="D114" s="14"/>
      <c r="E114" s="14"/>
      <c r="F114" s="14"/>
    </row>
    <row r="115" spans="1:6" x14ac:dyDescent="0.2">
      <c r="A115" s="14"/>
      <c r="B115" s="14"/>
      <c r="C115" s="14"/>
      <c r="D115" s="14"/>
      <c r="E115" s="14"/>
      <c r="F115" s="14"/>
    </row>
    <row r="116" spans="1:6" x14ac:dyDescent="0.2">
      <c r="A116" s="14"/>
      <c r="B116" s="14"/>
      <c r="C116" s="14"/>
      <c r="D116" s="14"/>
      <c r="E116" s="14"/>
      <c r="F116" s="14"/>
    </row>
    <row r="117" spans="1:6" x14ac:dyDescent="0.2">
      <c r="A117" s="14"/>
      <c r="B117" s="14"/>
      <c r="C117" s="14"/>
      <c r="D117" s="14"/>
      <c r="E117" s="14"/>
      <c r="F117" s="14"/>
    </row>
    <row r="118" spans="1:6" x14ac:dyDescent="0.2">
      <c r="A118" s="14"/>
      <c r="B118" s="14"/>
      <c r="C118" s="14"/>
      <c r="D118" s="14"/>
      <c r="E118" s="14"/>
    </row>
  </sheetData>
  <conditionalFormatting sqref="B1 B27:B1048576 D2:D26">
    <cfRule type="containsText" dxfId="46" priority="2" operator="containsText" text="NIKDO">
      <formula>NOT(ISERROR(SEARCH("NIKDO",B1)))</formula>
    </cfRule>
  </conditionalFormatting>
  <conditionalFormatting sqref="F2:F26">
    <cfRule type="containsText" dxfId="45" priority="3" operator="containsText" text="FALSE">
      <formula>NOT(ISERROR(SEARCH("FALSE",F2)))</formula>
    </cfRule>
  </conditionalFormatting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EAF7D-686F-4F41-BB4E-DE7107640ED8}">
  <sheetPr codeName="List5"/>
  <dimension ref="A1:M141"/>
  <sheetViews>
    <sheetView zoomScale="162" workbookViewId="0">
      <selection activeCell="F2" sqref="F2"/>
    </sheetView>
  </sheetViews>
  <sheetFormatPr baseColWidth="10" defaultColWidth="11" defaultRowHeight="16" x14ac:dyDescent="0.2"/>
  <cols>
    <col min="1" max="1" width="30.5" customWidth="1"/>
    <col min="2" max="2" width="14.1640625" bestFit="1" customWidth="1"/>
    <col min="5" max="5" width="34" customWidth="1"/>
  </cols>
  <sheetData>
    <row r="1" spans="1:13" x14ac:dyDescent="0.2">
      <c r="A1" s="17" t="s">
        <v>4</v>
      </c>
      <c r="B1" s="3" t="s">
        <v>11</v>
      </c>
      <c r="C1" s="25" t="s">
        <v>12</v>
      </c>
      <c r="D1" s="25" t="s">
        <v>0</v>
      </c>
      <c r="E1" s="3" t="s">
        <v>19</v>
      </c>
      <c r="F1" s="25" t="s">
        <v>20</v>
      </c>
    </row>
    <row r="2" spans="1:13" x14ac:dyDescent="0.2">
      <c r="D2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" s="14" t="b">
        <f>EXACT(UPPER(III[[#This Row],[POSTAVA]]),UPPER(III[[#This Row],[KONTROLA DABÉRA]]))</f>
        <v>1</v>
      </c>
      <c r="G2" s="14"/>
      <c r="H2" s="14"/>
      <c r="I2" s="14"/>
      <c r="J2" s="14"/>
      <c r="K2" s="14"/>
      <c r="L2" s="14"/>
      <c r="M2" s="14"/>
    </row>
    <row r="3" spans="1:13" x14ac:dyDescent="0.2">
      <c r="D3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" s="14" t="b">
        <f>EXACT(UPPER(III[[#This Row],[POSTAVA]]),UPPER(III[[#This Row],[KONTROLA DABÉRA]]))</f>
        <v>1</v>
      </c>
      <c r="G3" s="14"/>
      <c r="H3" s="14"/>
      <c r="I3" s="14"/>
      <c r="J3" s="14"/>
      <c r="K3" s="14"/>
      <c r="L3" s="14"/>
      <c r="M3" s="14"/>
    </row>
    <row r="4" spans="1:13" x14ac:dyDescent="0.2">
      <c r="D4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4" s="14" t="b">
        <f>EXACT(UPPER(III[[#This Row],[POSTAVA]]),UPPER(III[[#This Row],[KONTROLA DABÉRA]]))</f>
        <v>1</v>
      </c>
      <c r="G4" s="14"/>
      <c r="H4" s="14"/>
      <c r="I4" s="14"/>
      <c r="J4" s="14"/>
      <c r="K4" s="14"/>
      <c r="L4" s="14"/>
      <c r="M4" s="14"/>
    </row>
    <row r="5" spans="1:13" x14ac:dyDescent="0.2">
      <c r="D5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5" s="14" t="b">
        <f>EXACT(UPPER(III[[#This Row],[POSTAVA]]),UPPER(III[[#This Row],[KONTROLA DABÉRA]]))</f>
        <v>1</v>
      </c>
      <c r="G5" s="14"/>
      <c r="H5" s="14"/>
      <c r="I5" s="14"/>
      <c r="J5" s="14"/>
      <c r="K5" s="14"/>
      <c r="L5" s="14"/>
      <c r="M5" s="14"/>
    </row>
    <row r="6" spans="1:13" x14ac:dyDescent="0.2">
      <c r="D6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6" s="14" t="b">
        <f>EXACT(UPPER(III[[#This Row],[POSTAVA]]),UPPER(III[[#This Row],[KONTROLA DABÉRA]]))</f>
        <v>1</v>
      </c>
      <c r="G6" s="14"/>
      <c r="H6" s="14"/>
      <c r="I6" s="14"/>
      <c r="J6" s="14"/>
      <c r="K6" s="14"/>
      <c r="L6" s="14"/>
      <c r="M6" s="14"/>
    </row>
    <row r="7" spans="1:13" x14ac:dyDescent="0.2">
      <c r="D7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7" s="14" t="b">
        <f>EXACT(UPPER(III[[#This Row],[POSTAVA]]),UPPER(III[[#This Row],[KONTROLA DABÉRA]]))</f>
        <v>1</v>
      </c>
      <c r="G7" s="14"/>
      <c r="H7" s="14"/>
      <c r="I7" s="14"/>
      <c r="J7" s="14"/>
      <c r="K7" s="14"/>
      <c r="L7" s="14"/>
      <c r="M7" s="14"/>
    </row>
    <row r="8" spans="1:13" x14ac:dyDescent="0.2">
      <c r="D8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8" s="14" t="b">
        <f>EXACT(UPPER(III[[#This Row],[POSTAVA]]),UPPER(III[[#This Row],[KONTROLA DABÉRA]]))</f>
        <v>1</v>
      </c>
      <c r="G8" s="14"/>
      <c r="H8" s="14"/>
      <c r="I8" s="14"/>
      <c r="J8" s="14"/>
      <c r="K8" s="14"/>
      <c r="L8" s="14"/>
      <c r="M8" s="14"/>
    </row>
    <row r="9" spans="1:13" x14ac:dyDescent="0.2">
      <c r="D9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9" s="14" t="b">
        <f>EXACT(UPPER(III[[#This Row],[POSTAVA]]),UPPER(III[[#This Row],[KONTROLA DABÉRA]]))</f>
        <v>1</v>
      </c>
      <c r="G9" s="14"/>
      <c r="H9" s="14"/>
      <c r="I9" s="14"/>
      <c r="J9" s="14"/>
      <c r="K9" s="14"/>
      <c r="L9" s="14"/>
      <c r="M9" s="14"/>
    </row>
    <row r="10" spans="1:13" x14ac:dyDescent="0.2">
      <c r="D10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0" s="14" t="b">
        <f>EXACT(UPPER(III[[#This Row],[POSTAVA]]),UPPER(III[[#This Row],[KONTROLA DABÉRA]]))</f>
        <v>1</v>
      </c>
      <c r="G10" s="14"/>
      <c r="H10" s="14"/>
      <c r="I10" s="14"/>
      <c r="J10" s="14"/>
      <c r="K10" s="14"/>
      <c r="L10" s="14"/>
      <c r="M10" s="14"/>
    </row>
    <row r="11" spans="1:13" x14ac:dyDescent="0.2">
      <c r="D11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1" s="14" t="b">
        <f>EXACT(UPPER(III[[#This Row],[POSTAVA]]),UPPER(III[[#This Row],[KONTROLA DABÉRA]]))</f>
        <v>1</v>
      </c>
      <c r="G11" s="14"/>
      <c r="H11" s="14"/>
      <c r="I11" s="14"/>
      <c r="J11" s="14"/>
      <c r="K11" s="14"/>
      <c r="L11" s="14"/>
      <c r="M11" s="14"/>
    </row>
    <row r="12" spans="1:13" x14ac:dyDescent="0.2">
      <c r="D12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2" s="14" t="b">
        <f>EXACT(UPPER(III[[#This Row],[POSTAVA]]),UPPER(III[[#This Row],[KONTROLA DABÉRA]]))</f>
        <v>1</v>
      </c>
      <c r="G12" s="14"/>
      <c r="H12" s="14"/>
      <c r="I12" s="14"/>
      <c r="J12" s="14"/>
      <c r="K12" s="14"/>
      <c r="L12" s="14"/>
      <c r="M12" s="14"/>
    </row>
    <row r="13" spans="1:13" x14ac:dyDescent="0.2">
      <c r="D13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3" s="14" t="b">
        <f>EXACT(UPPER(III[[#This Row],[POSTAVA]]),UPPER(III[[#This Row],[KONTROLA DABÉRA]]))</f>
        <v>1</v>
      </c>
      <c r="G13" s="14"/>
      <c r="H13" s="14"/>
      <c r="I13" s="14"/>
      <c r="J13" s="14"/>
      <c r="K13" s="14"/>
      <c r="L13" s="14"/>
      <c r="M13" s="14"/>
    </row>
    <row r="14" spans="1:13" x14ac:dyDescent="0.2">
      <c r="D14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4" s="14" t="b">
        <f>EXACT(UPPER(III[[#This Row],[POSTAVA]]),UPPER(III[[#This Row],[KONTROLA DABÉRA]]))</f>
        <v>1</v>
      </c>
      <c r="G14" s="14"/>
      <c r="H14" s="14"/>
      <c r="I14" s="14"/>
      <c r="J14" s="14"/>
      <c r="K14" s="14"/>
      <c r="L14" s="14"/>
      <c r="M14" s="14"/>
    </row>
    <row r="15" spans="1:13" x14ac:dyDescent="0.2">
      <c r="D15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5" s="14" t="b">
        <f>EXACT(UPPER(III[[#This Row],[POSTAVA]]),UPPER(III[[#This Row],[KONTROLA DABÉRA]]))</f>
        <v>1</v>
      </c>
      <c r="G15" s="14"/>
      <c r="H15" s="14"/>
      <c r="I15" s="14"/>
      <c r="J15" s="14"/>
      <c r="K15" s="14"/>
      <c r="L15" s="14"/>
      <c r="M15" s="14"/>
    </row>
    <row r="16" spans="1:13" x14ac:dyDescent="0.2">
      <c r="D16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6" s="14" t="b">
        <f>EXACT(UPPER(III[[#This Row],[POSTAVA]]),UPPER(III[[#This Row],[KONTROLA DABÉRA]]))</f>
        <v>1</v>
      </c>
      <c r="G16" s="14"/>
      <c r="H16" s="14"/>
      <c r="I16" s="14"/>
      <c r="J16" s="14"/>
      <c r="K16" s="14"/>
      <c r="L16" s="14"/>
      <c r="M16" s="14"/>
    </row>
    <row r="17" spans="4:13" x14ac:dyDescent="0.2">
      <c r="D17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7" s="14" t="b">
        <f>EXACT(UPPER(III[[#This Row],[POSTAVA]]),UPPER(III[[#This Row],[KONTROLA DABÉRA]]))</f>
        <v>1</v>
      </c>
      <c r="G17" s="14"/>
      <c r="H17" s="14"/>
      <c r="I17" s="14"/>
      <c r="J17" s="14"/>
      <c r="K17" s="14"/>
      <c r="L17" s="14"/>
      <c r="M17" s="14"/>
    </row>
    <row r="18" spans="4:13" x14ac:dyDescent="0.2">
      <c r="D18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8" s="14" t="b">
        <f>EXACT(UPPER(III[[#This Row],[POSTAVA]]),UPPER(III[[#This Row],[KONTROLA DABÉRA]]))</f>
        <v>1</v>
      </c>
      <c r="G18" s="14"/>
      <c r="H18" s="14"/>
      <c r="I18" s="14"/>
      <c r="J18" s="14"/>
      <c r="K18" s="14"/>
      <c r="L18" s="14"/>
      <c r="M18" s="14"/>
    </row>
    <row r="19" spans="4:13" x14ac:dyDescent="0.2">
      <c r="D19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19" s="14" t="b">
        <f>EXACT(UPPER(III[[#This Row],[POSTAVA]]),UPPER(III[[#This Row],[KONTROLA DABÉRA]]))</f>
        <v>1</v>
      </c>
      <c r="G19" s="14"/>
      <c r="H19" s="14"/>
      <c r="I19" s="14"/>
      <c r="J19" s="14"/>
      <c r="K19" s="14"/>
      <c r="L19" s="14"/>
      <c r="M19" s="14"/>
    </row>
    <row r="20" spans="4:13" x14ac:dyDescent="0.2">
      <c r="D20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0" s="14" t="b">
        <f>EXACT(UPPER(III[[#This Row],[POSTAVA]]),UPPER(III[[#This Row],[KONTROLA DABÉRA]]))</f>
        <v>1</v>
      </c>
      <c r="G20" s="14"/>
      <c r="H20" s="14"/>
      <c r="I20" s="14"/>
      <c r="J20" s="14"/>
      <c r="K20" s="14"/>
      <c r="L20" s="14"/>
      <c r="M20" s="14"/>
    </row>
    <row r="21" spans="4:13" x14ac:dyDescent="0.2">
      <c r="D21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1" s="14" t="b">
        <f>EXACT(UPPER(III[[#This Row],[POSTAVA]]),UPPER(III[[#This Row],[KONTROLA DABÉRA]]))</f>
        <v>1</v>
      </c>
      <c r="G21" s="14"/>
      <c r="H21" s="14"/>
      <c r="I21" s="14"/>
      <c r="J21" s="14"/>
      <c r="K21" s="14"/>
      <c r="L21" s="14"/>
      <c r="M21" s="14"/>
    </row>
    <row r="22" spans="4:13" x14ac:dyDescent="0.2">
      <c r="D22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2" s="14" t="b">
        <f>EXACT(UPPER(III[[#This Row],[POSTAVA]]),UPPER(III[[#This Row],[KONTROLA DABÉRA]]))</f>
        <v>1</v>
      </c>
      <c r="G22" s="14"/>
      <c r="H22" s="14"/>
      <c r="I22" s="14"/>
      <c r="J22" s="14"/>
      <c r="K22" s="14"/>
      <c r="L22" s="14"/>
      <c r="M22" s="14"/>
    </row>
    <row r="23" spans="4:13" x14ac:dyDescent="0.2">
      <c r="D23" s="14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3" s="14" t="b">
        <f>EXACT(UPPER(III[[#This Row],[POSTAVA]]),UPPER(III[[#This Row],[KONTROLA DABÉRA]]))</f>
        <v>1</v>
      </c>
      <c r="G23" s="14"/>
      <c r="H23" s="14"/>
      <c r="I23" s="14"/>
      <c r="J23" s="14"/>
      <c r="K23" s="14"/>
      <c r="L23" s="14"/>
      <c r="M23" s="14"/>
    </row>
    <row r="24" spans="4:13" x14ac:dyDescent="0.2">
      <c r="D24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4" s="14" t="b">
        <f>EXACT(UPPER(III[[#This Row],[POSTAVA]]),UPPER(III[[#This Row],[KONTROLA DABÉRA]]))</f>
        <v>1</v>
      </c>
      <c r="G24" s="14"/>
      <c r="H24" s="14"/>
      <c r="I24" s="14"/>
      <c r="J24" s="14"/>
      <c r="K24" s="14"/>
      <c r="L24" s="14"/>
      <c r="M24" s="14"/>
    </row>
    <row r="25" spans="4:13" x14ac:dyDescent="0.2">
      <c r="D25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5" s="14" t="b">
        <f>EXACT(UPPER(III[[#This Row],[POSTAVA]]),UPPER(III[[#This Row],[KONTROLA DABÉRA]]))</f>
        <v>1</v>
      </c>
      <c r="G25" s="14"/>
      <c r="H25" s="14"/>
      <c r="I25" s="14"/>
      <c r="J25" s="14"/>
      <c r="K25" s="14"/>
      <c r="L25" s="14"/>
      <c r="M25" s="14"/>
    </row>
    <row r="26" spans="4:13" x14ac:dyDescent="0.2">
      <c r="D26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6" s="14" t="b">
        <f>EXACT(UPPER(III[[#This Row],[POSTAVA]]),UPPER(III[[#This Row],[KONTROLA DABÉRA]]))</f>
        <v>1</v>
      </c>
      <c r="G26" s="14"/>
      <c r="H26" s="14"/>
      <c r="I26" s="14"/>
      <c r="J26" s="14"/>
      <c r="K26" s="14"/>
      <c r="L26" s="14"/>
      <c r="M26" s="14"/>
    </row>
    <row r="27" spans="4:13" x14ac:dyDescent="0.2">
      <c r="D27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7" s="14" t="b">
        <f>EXACT(UPPER(III[[#This Row],[POSTAVA]]),UPPER(III[[#This Row],[KONTROLA DABÉRA]]))</f>
        <v>1</v>
      </c>
      <c r="G27" s="14"/>
      <c r="H27" s="14"/>
      <c r="I27" s="14"/>
      <c r="J27" s="14"/>
      <c r="K27" s="14"/>
      <c r="L27" s="14"/>
      <c r="M27" s="14"/>
    </row>
    <row r="28" spans="4:13" x14ac:dyDescent="0.2">
      <c r="D28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8" s="14" t="b">
        <f>EXACT(UPPER(III[[#This Row],[POSTAVA]]),UPPER(III[[#This Row],[KONTROLA DABÉRA]]))</f>
        <v>1</v>
      </c>
      <c r="G28" s="14"/>
      <c r="H28" s="14"/>
      <c r="I28" s="14"/>
      <c r="J28" s="14"/>
      <c r="K28" s="14"/>
      <c r="L28" s="14"/>
      <c r="M28" s="14"/>
    </row>
    <row r="29" spans="4:13" x14ac:dyDescent="0.2">
      <c r="D29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29" s="14" t="b">
        <f>EXACT(UPPER(III[[#This Row],[POSTAVA]]),UPPER(III[[#This Row],[KONTROLA DABÉRA]]))</f>
        <v>1</v>
      </c>
      <c r="G29" s="14"/>
      <c r="H29" s="14"/>
      <c r="I29" s="14"/>
      <c r="J29" s="14"/>
      <c r="K29" s="14"/>
      <c r="L29" s="14"/>
      <c r="M29" s="14"/>
    </row>
    <row r="30" spans="4:13" x14ac:dyDescent="0.2">
      <c r="D30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0" s="14" t="b">
        <f>EXACT(UPPER(III[[#This Row],[POSTAVA]]),UPPER(III[[#This Row],[KONTROLA DABÉRA]]))</f>
        <v>1</v>
      </c>
      <c r="G30" s="14"/>
      <c r="H30" s="14"/>
      <c r="I30" s="14"/>
      <c r="J30" s="14"/>
      <c r="K30" s="14"/>
      <c r="L30" s="14"/>
      <c r="M30" s="14"/>
    </row>
    <row r="31" spans="4:13" x14ac:dyDescent="0.2">
      <c r="D31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1" s="14" t="b">
        <f>EXACT(UPPER(III[[#This Row],[POSTAVA]]),UPPER(III[[#This Row],[KONTROLA DABÉRA]]))</f>
        <v>1</v>
      </c>
      <c r="G31" s="14"/>
      <c r="H31" s="14"/>
      <c r="I31" s="14"/>
      <c r="J31" s="14"/>
      <c r="K31" s="14"/>
      <c r="L31" s="14"/>
      <c r="M31" s="14"/>
    </row>
    <row r="32" spans="4:13" x14ac:dyDescent="0.2">
      <c r="D32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2" s="2" t="b">
        <f>EXACT(UPPER(III[[#This Row],[POSTAVA]]),UPPER(III[[#This Row],[KONTROLA DABÉRA]]))</f>
        <v>1</v>
      </c>
      <c r="G32" s="14"/>
      <c r="H32" s="14"/>
      <c r="I32" s="14"/>
      <c r="J32" s="14"/>
      <c r="K32" s="14"/>
      <c r="L32" s="14"/>
      <c r="M32" s="14"/>
    </row>
    <row r="33" spans="1:13" x14ac:dyDescent="0.2">
      <c r="D33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3" s="2" t="b">
        <f>EXACT(UPPER(III[[#This Row],[POSTAVA]]),UPPER(III[[#This Row],[KONTROLA DABÉRA]]))</f>
        <v>1</v>
      </c>
      <c r="G33" s="14"/>
      <c r="H33" s="14"/>
      <c r="I33" s="14"/>
      <c r="J33" s="14"/>
      <c r="K33" s="14"/>
      <c r="L33" s="14"/>
      <c r="M33" s="14"/>
    </row>
    <row r="34" spans="1:13" x14ac:dyDescent="0.2">
      <c r="D34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4" s="2" t="b">
        <f>EXACT(UPPER(III[[#This Row],[POSTAVA]]),UPPER(III[[#This Row],[KONTROLA DABÉRA]]))</f>
        <v>1</v>
      </c>
      <c r="G34" s="14"/>
      <c r="H34" s="14"/>
      <c r="I34" s="14"/>
      <c r="J34" s="14"/>
      <c r="K34" s="14"/>
      <c r="L34" s="14"/>
      <c r="M34" s="14"/>
    </row>
    <row r="35" spans="1:13" x14ac:dyDescent="0.2">
      <c r="D35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5" s="2" t="b">
        <f>EXACT(UPPER(III[[#This Row],[POSTAVA]]),UPPER(III[[#This Row],[KONTROLA DABÉRA]]))</f>
        <v>1</v>
      </c>
      <c r="G35" s="14"/>
      <c r="H35" s="14"/>
      <c r="I35" s="14"/>
      <c r="J35" s="14"/>
      <c r="K35" s="14"/>
      <c r="L35" s="14"/>
      <c r="M35" s="14"/>
    </row>
    <row r="36" spans="1:13" x14ac:dyDescent="0.2">
      <c r="D36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6" s="2" t="b">
        <f>EXACT(UPPER(III[[#This Row],[POSTAVA]]),UPPER(III[[#This Row],[KONTROLA DABÉRA]]))</f>
        <v>1</v>
      </c>
      <c r="G36" s="14"/>
      <c r="H36" s="14"/>
      <c r="I36" s="14"/>
      <c r="J36" s="14"/>
      <c r="K36" s="14"/>
      <c r="L36" s="14"/>
      <c r="M36" s="14"/>
    </row>
    <row r="37" spans="1:13" x14ac:dyDescent="0.2">
      <c r="D37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7" s="2" t="b">
        <f>EXACT(UPPER(III[[#This Row],[POSTAVA]]),UPPER(III[[#This Row],[KONTROLA DABÉRA]]))</f>
        <v>1</v>
      </c>
      <c r="G37" s="14"/>
      <c r="H37" s="14"/>
      <c r="I37" s="14"/>
      <c r="J37" s="14"/>
      <c r="K37" s="14"/>
      <c r="L37" s="14"/>
      <c r="M37" s="14"/>
    </row>
    <row r="38" spans="1:13" x14ac:dyDescent="0.2">
      <c r="D38" s="6" t="str">
        <f>IF(_xlfn.XLOOKUP(III[[#This Row],[POSTAVA]],KOMPLET[POSTAVA],KOMPLET[DABÉR],"CHYBÍ POSTAVA V KOMPLET")=0,"NIKDO",_xlfn.XLOOKUP(III[[#This Row],[POSTAVA]],KOMPLET[POSTAVA],KOMPLET[DABÉR],"CHYBÍ POSTAVA V KOMPLET"))</f>
        <v>NIKDO</v>
      </c>
      <c r="F38" s="14" t="b">
        <f>EXACT(UPPER(III[[#This Row],[POSTAVA]]),UPPER(III[[#This Row],[KONTROLA DABÉRA]]))</f>
        <v>1</v>
      </c>
      <c r="G38" s="14"/>
      <c r="H38" s="14"/>
      <c r="I38" s="14"/>
      <c r="J38" s="14"/>
      <c r="K38" s="14"/>
      <c r="L38" s="14"/>
      <c r="M38" s="14"/>
    </row>
    <row r="39" spans="1:13" ht="17" x14ac:dyDescent="0.2">
      <c r="A39" s="1" t="s">
        <v>17</v>
      </c>
      <c r="B39" s="6">
        <f>SUBTOTAL(109,III[VSTUPY])</f>
        <v>0</v>
      </c>
      <c r="C39" s="2">
        <f>SUBTOTAL(9,III[REPLIKY])</f>
        <v>0</v>
      </c>
      <c r="D39" s="2">
        <f>SUBTOTAL(9,III[DABÉR])</f>
        <v>0</v>
      </c>
      <c r="E39" s="2"/>
      <c r="F39" s="2"/>
      <c r="G39" s="14"/>
      <c r="H39" s="14"/>
      <c r="I39" s="14"/>
      <c r="J39" s="14"/>
      <c r="K39" s="14"/>
      <c r="L39" s="14"/>
      <c r="M39" s="14"/>
    </row>
    <row r="40" spans="1:13" x14ac:dyDescent="0.2">
      <c r="A40" s="1"/>
      <c r="B40" s="6"/>
      <c r="C40" s="4"/>
      <c r="D40" s="4"/>
      <c r="E40" s="2"/>
      <c r="F40" s="14"/>
      <c r="G40" s="14"/>
      <c r="H40" s="14"/>
      <c r="I40" s="14"/>
      <c r="J40" s="14"/>
      <c r="K40" s="14"/>
      <c r="L40" s="14"/>
      <c r="M40" s="14"/>
    </row>
    <row r="41" spans="1:13" x14ac:dyDescent="0.2">
      <c r="A41" s="1"/>
      <c r="B41" s="6"/>
      <c r="C41" s="4"/>
      <c r="D41" s="4"/>
      <c r="E41" s="2"/>
      <c r="F41" s="14"/>
      <c r="G41" s="14"/>
      <c r="H41" s="14"/>
      <c r="I41" s="14"/>
      <c r="J41" s="14"/>
      <c r="K41" s="14"/>
      <c r="L41" s="14"/>
      <c r="M41" s="14"/>
    </row>
    <row r="42" spans="1:13" x14ac:dyDescent="0.2">
      <c r="A42" s="1"/>
      <c r="B42" s="6"/>
      <c r="C42" s="4"/>
      <c r="D42" s="4"/>
      <c r="E42" s="2"/>
      <c r="F42" s="14"/>
      <c r="G42" s="14"/>
      <c r="H42" s="14"/>
      <c r="I42" s="14"/>
      <c r="J42" s="14"/>
      <c r="K42" s="14"/>
      <c r="L42" s="14"/>
      <c r="M42" s="14"/>
    </row>
    <row r="43" spans="1:13" x14ac:dyDescent="0.2">
      <c r="A43" s="1"/>
      <c r="B43" s="6"/>
      <c r="C43" s="4"/>
      <c r="D43" s="4"/>
      <c r="E43" s="2"/>
      <c r="F43" s="14"/>
      <c r="G43" s="14"/>
      <c r="H43" s="14"/>
      <c r="I43" s="14"/>
      <c r="J43" s="14"/>
      <c r="K43" s="14"/>
      <c r="L43" s="14"/>
      <c r="M43" s="14"/>
    </row>
    <row r="44" spans="1:13" x14ac:dyDescent="0.2">
      <c r="A44" s="1"/>
      <c r="B44" s="6"/>
      <c r="C44" s="4"/>
      <c r="D44" s="4"/>
      <c r="E44" s="2"/>
      <c r="F44" s="14"/>
      <c r="G44" s="14"/>
      <c r="H44" s="14"/>
      <c r="I44" s="14"/>
      <c r="J44" s="14"/>
      <c r="K44" s="14"/>
      <c r="L44" s="14"/>
      <c r="M44" s="14"/>
    </row>
    <row r="45" spans="1:13" x14ac:dyDescent="0.2">
      <c r="A45" s="1"/>
      <c r="B45" s="6"/>
      <c r="C45" s="4"/>
      <c r="D45" s="4"/>
      <c r="E45" s="2"/>
      <c r="F45" s="14"/>
      <c r="G45" s="14"/>
      <c r="H45" s="14"/>
      <c r="I45" s="14"/>
      <c r="J45" s="14"/>
      <c r="K45" s="14"/>
      <c r="L45" s="14"/>
      <c r="M45" s="14"/>
    </row>
    <row r="46" spans="1:13" x14ac:dyDescent="0.2">
      <c r="A46" s="1"/>
      <c r="B46" s="6"/>
      <c r="C46" s="4"/>
      <c r="D46" s="4"/>
      <c r="E46" s="2"/>
      <c r="F46" s="14"/>
      <c r="G46" s="14"/>
      <c r="H46" s="14"/>
      <c r="I46" s="14"/>
      <c r="J46" s="14"/>
      <c r="K46" s="14"/>
      <c r="L46" s="14"/>
      <c r="M46" s="14"/>
    </row>
    <row r="47" spans="1:13" x14ac:dyDescent="0.2">
      <c r="A47" s="1"/>
      <c r="B47" s="6"/>
      <c r="C47" s="4"/>
      <c r="D47" s="4"/>
      <c r="E47" s="2"/>
      <c r="F47" s="14"/>
      <c r="G47" s="14"/>
      <c r="H47" s="14"/>
      <c r="I47" s="14"/>
      <c r="J47" s="14"/>
      <c r="K47" s="14"/>
      <c r="L47" s="14"/>
      <c r="M47" s="14"/>
    </row>
    <row r="48" spans="1:13" x14ac:dyDescent="0.2">
      <c r="A48" s="1"/>
      <c r="B48" s="6"/>
      <c r="C48" s="4"/>
      <c r="D48" s="4"/>
      <c r="E48" s="2"/>
      <c r="F48" s="14"/>
      <c r="G48" s="14"/>
      <c r="H48" s="14"/>
      <c r="I48" s="14"/>
      <c r="J48" s="14"/>
      <c r="K48" s="14"/>
      <c r="L48" s="14"/>
      <c r="M48" s="14"/>
    </row>
    <row r="49" spans="1:13" x14ac:dyDescent="0.2">
      <c r="A49" s="1"/>
      <c r="B49" s="6"/>
      <c r="C49" s="4"/>
      <c r="D49" s="4"/>
      <c r="E49" s="2"/>
      <c r="F49" s="14"/>
      <c r="G49" s="14"/>
      <c r="H49" s="14"/>
      <c r="I49" s="14"/>
      <c r="J49" s="14"/>
      <c r="K49" s="14"/>
      <c r="L49" s="14"/>
      <c r="M49" s="14"/>
    </row>
    <row r="50" spans="1:13" x14ac:dyDescent="0.2">
      <c r="A50" s="1"/>
      <c r="B50" s="6"/>
      <c r="C50" s="4"/>
      <c r="D50" s="4"/>
      <c r="E50" s="2"/>
      <c r="F50" s="14"/>
      <c r="G50" s="14"/>
      <c r="H50" s="14"/>
      <c r="I50" s="14"/>
      <c r="J50" s="14"/>
      <c r="K50" s="14"/>
      <c r="L50" s="14"/>
      <c r="M50" s="14"/>
    </row>
    <row r="51" spans="1:13" x14ac:dyDescent="0.2">
      <c r="A51" s="1"/>
      <c r="B51" s="6"/>
      <c r="C51" s="4"/>
      <c r="D51" s="4"/>
      <c r="E51" s="2"/>
      <c r="F51" s="14"/>
      <c r="G51" s="14"/>
      <c r="H51" s="14"/>
      <c r="I51" s="14"/>
      <c r="J51" s="14"/>
      <c r="K51" s="14"/>
      <c r="L51" s="14"/>
      <c r="M51" s="14"/>
    </row>
    <row r="52" spans="1:13" x14ac:dyDescent="0.2">
      <c r="A52" s="1"/>
      <c r="B52" s="6"/>
      <c r="C52" s="4"/>
      <c r="D52" s="4"/>
      <c r="E52" s="2"/>
      <c r="F52" s="14"/>
      <c r="G52" s="14"/>
      <c r="H52" s="14"/>
      <c r="I52" s="14"/>
      <c r="J52" s="14"/>
      <c r="K52" s="14"/>
      <c r="L52" s="14"/>
      <c r="M52" s="14"/>
    </row>
    <row r="53" spans="1:13" x14ac:dyDescent="0.2">
      <c r="A53" s="1"/>
      <c r="B53" s="6"/>
      <c r="C53" s="4"/>
      <c r="D53" s="4"/>
      <c r="E53" s="2"/>
      <c r="F53" s="14"/>
      <c r="G53" s="14"/>
      <c r="H53" s="14"/>
      <c r="I53" s="14"/>
      <c r="J53" s="14"/>
      <c r="K53" s="14"/>
      <c r="L53" s="14"/>
      <c r="M53" s="14"/>
    </row>
    <row r="54" spans="1:13" x14ac:dyDescent="0.2">
      <c r="A54" s="1"/>
      <c r="B54" s="6"/>
      <c r="C54" s="4"/>
      <c r="D54" s="4"/>
      <c r="E54" s="2"/>
      <c r="F54" s="14"/>
      <c r="G54" s="14"/>
      <c r="H54" s="14"/>
      <c r="I54" s="14"/>
      <c r="J54" s="14"/>
      <c r="K54" s="14"/>
      <c r="L54" s="14"/>
      <c r="M54" s="14"/>
    </row>
    <row r="55" spans="1:13" x14ac:dyDescent="0.2">
      <c r="A55" s="1"/>
      <c r="B55" s="6"/>
      <c r="C55" s="4"/>
      <c r="D55" s="4"/>
      <c r="E55" s="2"/>
      <c r="F55" s="14"/>
      <c r="G55" s="14"/>
      <c r="H55" s="14"/>
      <c r="I55" s="14"/>
      <c r="J55" s="14"/>
      <c r="K55" s="14"/>
      <c r="L55" s="14"/>
      <c r="M55" s="14"/>
    </row>
    <row r="56" spans="1:13" x14ac:dyDescent="0.2">
      <c r="A56" s="1"/>
      <c r="B56" s="6"/>
      <c r="C56" s="4"/>
      <c r="D56" s="4"/>
      <c r="E56" s="2"/>
      <c r="F56" s="14"/>
      <c r="G56" s="14"/>
      <c r="H56" s="14"/>
      <c r="I56" s="14"/>
      <c r="J56" s="14"/>
      <c r="K56" s="14"/>
      <c r="L56" s="14"/>
      <c r="M56" s="14"/>
    </row>
    <row r="57" spans="1:13" x14ac:dyDescent="0.2">
      <c r="A57" s="1"/>
      <c r="B57" s="6"/>
      <c r="C57" s="4"/>
      <c r="D57" s="4"/>
      <c r="E57" s="2"/>
      <c r="F57" s="14"/>
      <c r="G57" s="14"/>
      <c r="H57" s="14"/>
      <c r="I57" s="14"/>
      <c r="J57" s="14"/>
      <c r="K57" s="14"/>
      <c r="L57" s="14"/>
      <c r="M57" s="14"/>
    </row>
    <row r="58" spans="1:13" x14ac:dyDescent="0.2">
      <c r="A58" s="1"/>
      <c r="B58" s="6"/>
      <c r="C58" s="4"/>
      <c r="D58" s="4"/>
      <c r="E58" s="2"/>
      <c r="F58" s="14"/>
      <c r="G58" s="14"/>
      <c r="H58" s="14"/>
      <c r="I58" s="14"/>
      <c r="J58" s="14"/>
      <c r="K58" s="14"/>
      <c r="L58" s="14"/>
      <c r="M58" s="14"/>
    </row>
    <row r="59" spans="1:13" x14ac:dyDescent="0.2">
      <c r="A59" s="1"/>
      <c r="B59" s="6"/>
      <c r="C59" s="4"/>
      <c r="D59" s="4"/>
      <c r="E59" s="2"/>
      <c r="F59" s="14"/>
      <c r="G59" s="14"/>
      <c r="H59" s="14"/>
      <c r="I59" s="14"/>
      <c r="J59" s="14"/>
      <c r="K59" s="14"/>
      <c r="L59" s="14"/>
      <c r="M59" s="14"/>
    </row>
    <row r="60" spans="1:13" x14ac:dyDescent="0.2">
      <c r="A60" s="1"/>
      <c r="B60" s="6"/>
      <c r="C60" s="4"/>
      <c r="D60" s="4"/>
      <c r="E60" s="2"/>
      <c r="F60" s="14"/>
      <c r="G60" s="14"/>
      <c r="H60" s="14"/>
      <c r="I60" s="14"/>
      <c r="J60" s="14"/>
      <c r="K60" s="14"/>
      <c r="L60" s="14"/>
      <c r="M60" s="14"/>
    </row>
    <row r="61" spans="1:13" x14ac:dyDescent="0.2">
      <c r="A61" s="1"/>
      <c r="B61" s="6"/>
      <c r="C61" s="4"/>
      <c r="D61" s="4"/>
      <c r="E61" s="2"/>
      <c r="F61" s="14"/>
      <c r="G61" s="14"/>
      <c r="H61" s="14"/>
      <c r="I61" s="14"/>
      <c r="J61" s="14"/>
      <c r="K61" s="14"/>
      <c r="L61" s="14"/>
      <c r="M61" s="14"/>
    </row>
    <row r="62" spans="1:13" x14ac:dyDescent="0.2">
      <c r="A62" s="1"/>
      <c r="B62" s="6"/>
      <c r="C62" s="4"/>
      <c r="D62" s="4"/>
      <c r="E62" s="2"/>
      <c r="F62" s="14"/>
      <c r="G62" s="14"/>
      <c r="H62" s="14"/>
      <c r="I62" s="14"/>
      <c r="J62" s="14"/>
      <c r="K62" s="14"/>
      <c r="L62" s="14"/>
      <c r="M62" s="14"/>
    </row>
    <row r="63" spans="1:13" x14ac:dyDescent="0.2">
      <c r="A63" s="1"/>
      <c r="B63" s="6"/>
      <c r="C63" s="4"/>
      <c r="D63" s="4"/>
      <c r="E63" s="2"/>
      <c r="F63" s="14"/>
      <c r="G63" s="14"/>
      <c r="H63" s="14"/>
      <c r="I63" s="14"/>
      <c r="J63" s="14"/>
      <c r="K63" s="14"/>
      <c r="L63" s="14"/>
      <c r="M63" s="14"/>
    </row>
    <row r="64" spans="1:13" x14ac:dyDescent="0.2">
      <c r="A64" s="1"/>
      <c r="B64" s="6"/>
      <c r="C64" s="4"/>
      <c r="D64" s="4"/>
      <c r="E64" s="2"/>
      <c r="F64" s="14"/>
      <c r="G64" s="14"/>
      <c r="H64" s="14"/>
      <c r="I64" s="14"/>
      <c r="J64" s="14"/>
      <c r="K64" s="14"/>
      <c r="L64" s="14"/>
      <c r="M64" s="14"/>
    </row>
    <row r="65" spans="1:13" x14ac:dyDescent="0.2">
      <c r="A65" s="1"/>
      <c r="B65" s="6"/>
      <c r="C65" s="4"/>
      <c r="D65" s="4"/>
      <c r="E65" s="2"/>
      <c r="F65" s="14"/>
      <c r="G65" s="14"/>
      <c r="H65" s="14"/>
      <c r="I65" s="14"/>
      <c r="J65" s="14"/>
      <c r="K65" s="14"/>
      <c r="L65" s="14"/>
      <c r="M65" s="14"/>
    </row>
    <row r="66" spans="1:13" x14ac:dyDescent="0.2">
      <c r="A66" s="1"/>
      <c r="B66" s="6"/>
      <c r="C66" s="4"/>
      <c r="D66" s="4"/>
      <c r="E66" s="2"/>
      <c r="F66" s="14"/>
      <c r="G66" s="14"/>
      <c r="H66" s="14"/>
      <c r="I66" s="14"/>
      <c r="J66" s="14"/>
      <c r="K66" s="14"/>
      <c r="L66" s="14"/>
      <c r="M66" s="14"/>
    </row>
    <row r="67" spans="1:13" x14ac:dyDescent="0.2">
      <c r="A67" s="1"/>
      <c r="B67" s="6"/>
      <c r="C67" s="4"/>
      <c r="D67" s="4"/>
      <c r="E67" s="2"/>
      <c r="F67" s="14"/>
      <c r="G67" s="14"/>
      <c r="H67" s="14"/>
      <c r="I67" s="14"/>
      <c r="J67" s="14"/>
      <c r="K67" s="14"/>
      <c r="L67" s="14"/>
      <c r="M67" s="14"/>
    </row>
    <row r="68" spans="1:13" x14ac:dyDescent="0.2">
      <c r="A68" s="1"/>
      <c r="B68" s="6"/>
      <c r="C68" s="4"/>
      <c r="D68" s="4"/>
      <c r="E68" s="2"/>
      <c r="F68" s="14"/>
      <c r="G68" s="14"/>
      <c r="H68" s="14"/>
      <c r="I68" s="14"/>
      <c r="J68" s="14"/>
      <c r="K68" s="14"/>
      <c r="L68" s="14"/>
      <c r="M68" s="14"/>
    </row>
    <row r="69" spans="1:13" x14ac:dyDescent="0.2">
      <c r="A69" s="1"/>
      <c r="B69" s="6"/>
      <c r="C69" s="4"/>
      <c r="D69" s="4"/>
      <c r="E69" s="2"/>
      <c r="F69" s="14"/>
      <c r="G69" s="14"/>
      <c r="H69" s="14"/>
      <c r="I69" s="14"/>
      <c r="J69" s="14"/>
      <c r="K69" s="14"/>
      <c r="L69" s="14"/>
      <c r="M69" s="14"/>
    </row>
    <row r="70" spans="1:13" x14ac:dyDescent="0.2">
      <c r="A70" s="2"/>
      <c r="B70" s="6"/>
      <c r="C70" s="4"/>
      <c r="D70" s="4"/>
      <c r="E70" s="2"/>
      <c r="F70" s="14"/>
      <c r="G70" s="14"/>
      <c r="H70" s="14"/>
      <c r="I70" s="14"/>
      <c r="J70" s="14"/>
      <c r="K70" s="14"/>
      <c r="L70" s="14"/>
      <c r="M70" s="14"/>
    </row>
    <row r="71" spans="1:13" x14ac:dyDescent="0.2">
      <c r="A71" s="2"/>
      <c r="B71" s="1"/>
      <c r="C71" s="4"/>
      <c r="D71" s="4"/>
      <c r="E71" s="2"/>
      <c r="F71" s="14"/>
      <c r="G71" s="14"/>
      <c r="H71" s="14"/>
      <c r="I71" s="14"/>
      <c r="J71" s="14"/>
      <c r="K71" s="14"/>
      <c r="L71" s="14"/>
      <c r="M71" s="14"/>
    </row>
    <row r="72" spans="1:13" x14ac:dyDescent="0.2">
      <c r="A72" s="2"/>
      <c r="B72" s="1"/>
      <c r="C72" s="4"/>
      <c r="D72" s="4"/>
      <c r="E72" s="2"/>
      <c r="F72" s="14"/>
      <c r="G72" s="14"/>
      <c r="H72" s="14"/>
      <c r="I72" s="14"/>
      <c r="J72" s="14"/>
      <c r="K72" s="14"/>
      <c r="L72" s="14"/>
      <c r="M72" s="14"/>
    </row>
    <row r="73" spans="1:13" x14ac:dyDescent="0.2">
      <c r="A73" s="2"/>
      <c r="B73" s="1"/>
      <c r="C73" s="4"/>
      <c r="D73" s="4"/>
      <c r="E73" s="2"/>
      <c r="F73" s="14"/>
      <c r="G73" s="14"/>
      <c r="H73" s="14"/>
      <c r="I73" s="14"/>
      <c r="J73" s="14"/>
      <c r="K73" s="14"/>
      <c r="L73" s="14"/>
      <c r="M73" s="14"/>
    </row>
    <row r="74" spans="1:13" x14ac:dyDescent="0.2">
      <c r="A74" s="2"/>
      <c r="B74" s="6"/>
      <c r="C74" s="4"/>
      <c r="D74" s="4"/>
      <c r="E74" s="2"/>
      <c r="F74" s="14"/>
      <c r="G74" s="14"/>
      <c r="H74" s="14"/>
      <c r="I74" s="14"/>
      <c r="J74" s="14"/>
      <c r="K74" s="14"/>
      <c r="L74" s="14"/>
      <c r="M74" s="14"/>
    </row>
    <row r="75" spans="1:13" x14ac:dyDescent="0.2">
      <c r="A75" s="2"/>
      <c r="B75" s="1"/>
      <c r="C75" s="4"/>
      <c r="D75" s="4"/>
      <c r="E75" s="2"/>
      <c r="F75" s="14"/>
      <c r="G75" s="14"/>
      <c r="H75" s="14"/>
      <c r="I75" s="14"/>
      <c r="J75" s="14"/>
      <c r="K75" s="14"/>
      <c r="L75" s="14"/>
      <c r="M75" s="14"/>
    </row>
    <row r="76" spans="1:13" x14ac:dyDescent="0.2">
      <c r="A76" s="2"/>
      <c r="B76" s="1"/>
      <c r="C76" s="4"/>
      <c r="D76" s="4"/>
      <c r="E76" s="2"/>
      <c r="F76" s="14"/>
      <c r="G76" s="14"/>
      <c r="H76" s="14"/>
      <c r="I76" s="14"/>
      <c r="J76" s="14"/>
      <c r="K76" s="14"/>
      <c r="L76" s="14"/>
      <c r="M76" s="14"/>
    </row>
    <row r="77" spans="1:13" x14ac:dyDescent="0.2">
      <c r="A77" s="2"/>
      <c r="B77" s="1"/>
      <c r="C77" s="4"/>
      <c r="D77" s="4"/>
      <c r="E77" s="2"/>
      <c r="F77" s="14"/>
      <c r="G77" s="14"/>
      <c r="H77" s="14"/>
      <c r="I77" s="14"/>
      <c r="J77" s="14"/>
      <c r="K77" s="14"/>
      <c r="L77" s="14"/>
      <c r="M77" s="14"/>
    </row>
    <row r="78" spans="1:13" x14ac:dyDescent="0.2">
      <c r="A78" s="2"/>
      <c r="B78" s="6"/>
      <c r="C78" s="4"/>
      <c r="D78" s="4"/>
      <c r="E78" s="2"/>
      <c r="F78" s="14"/>
      <c r="G78" s="14"/>
      <c r="H78" s="14"/>
      <c r="I78" s="14"/>
      <c r="J78" s="14"/>
      <c r="K78" s="14"/>
      <c r="L78" s="14"/>
      <c r="M78" s="14"/>
    </row>
    <row r="79" spans="1:13" x14ac:dyDescent="0.2">
      <c r="A79" s="2"/>
      <c r="B79" s="1"/>
      <c r="C79" s="4"/>
      <c r="D79" s="4"/>
      <c r="E79" s="2"/>
      <c r="F79" s="14"/>
      <c r="G79" s="14"/>
      <c r="H79" s="14"/>
      <c r="I79" s="14"/>
      <c r="J79" s="14"/>
      <c r="K79" s="14"/>
      <c r="L79" s="14"/>
      <c r="M79" s="14"/>
    </row>
    <row r="80" spans="1:13" x14ac:dyDescent="0.2">
      <c r="A80" s="2"/>
      <c r="B80" s="5"/>
      <c r="C80" s="4"/>
      <c r="D80" s="4"/>
      <c r="E80" s="2"/>
      <c r="F80" s="14"/>
      <c r="G80" s="14"/>
      <c r="H80" s="14"/>
      <c r="I80" s="14"/>
      <c r="J80" s="14"/>
      <c r="K80" s="14"/>
      <c r="L80" s="14"/>
      <c r="M80" s="14"/>
    </row>
    <row r="81" spans="1:13" x14ac:dyDescent="0.2">
      <c r="A81" s="2"/>
      <c r="B81" s="2"/>
      <c r="C81" s="4"/>
      <c r="D81" s="4"/>
      <c r="E81" s="2"/>
      <c r="F81" s="14"/>
      <c r="G81" s="14"/>
      <c r="H81" s="14"/>
      <c r="I81" s="14"/>
      <c r="J81" s="14"/>
      <c r="K81" s="14"/>
      <c r="L81" s="14"/>
      <c r="M81" s="14"/>
    </row>
    <row r="82" spans="1:13" x14ac:dyDescent="0.2">
      <c r="A82" s="2"/>
      <c r="B82" s="2"/>
      <c r="C82" s="4"/>
      <c r="D82" s="4"/>
      <c r="E82" s="2"/>
      <c r="F82" s="14"/>
      <c r="G82" s="14"/>
      <c r="H82" s="14"/>
      <c r="I82" s="14"/>
      <c r="J82" s="14"/>
      <c r="K82" s="14"/>
      <c r="L82" s="14"/>
      <c r="M82" s="14"/>
    </row>
    <row r="83" spans="1:13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x14ac:dyDescent="0.2">
      <c r="A130" s="14"/>
      <c r="B130" s="14"/>
      <c r="C130" s="14"/>
      <c r="D130" s="14"/>
      <c r="E130" s="14"/>
      <c r="F130" s="14"/>
    </row>
    <row r="131" spans="1:13" x14ac:dyDescent="0.2">
      <c r="A131" s="14"/>
      <c r="B131" s="14"/>
      <c r="C131" s="14"/>
      <c r="D131" s="14"/>
      <c r="E131" s="14"/>
      <c r="F131" s="14"/>
    </row>
    <row r="132" spans="1:13" x14ac:dyDescent="0.2">
      <c r="A132" s="14"/>
      <c r="B132" s="14"/>
      <c r="C132" s="14"/>
      <c r="D132" s="14"/>
      <c r="E132" s="14"/>
      <c r="F132" s="14"/>
    </row>
    <row r="133" spans="1:13" x14ac:dyDescent="0.2">
      <c r="A133" s="14"/>
      <c r="B133" s="14"/>
      <c r="C133" s="14"/>
      <c r="D133" s="14"/>
      <c r="E133" s="14"/>
      <c r="F133" s="14"/>
    </row>
    <row r="134" spans="1:13" x14ac:dyDescent="0.2">
      <c r="A134" s="14"/>
      <c r="B134" s="14"/>
      <c r="C134" s="14"/>
      <c r="D134" s="14"/>
      <c r="E134" s="14"/>
      <c r="F134" s="14"/>
    </row>
    <row r="135" spans="1:13" x14ac:dyDescent="0.2">
      <c r="A135" s="14"/>
      <c r="B135" s="14"/>
      <c r="C135" s="14"/>
      <c r="D135" s="14"/>
      <c r="E135" s="14"/>
      <c r="F135" s="14"/>
    </row>
    <row r="136" spans="1:13" x14ac:dyDescent="0.2">
      <c r="A136" s="14"/>
      <c r="B136" s="14"/>
      <c r="C136" s="14"/>
      <c r="D136" s="14"/>
      <c r="E136" s="14"/>
      <c r="F136" s="14"/>
    </row>
    <row r="137" spans="1:13" x14ac:dyDescent="0.2">
      <c r="A137" s="14"/>
      <c r="B137" s="14"/>
      <c r="C137" s="14"/>
      <c r="D137" s="14"/>
      <c r="E137" s="14"/>
      <c r="F137" s="14"/>
    </row>
    <row r="138" spans="1:13" x14ac:dyDescent="0.2">
      <c r="A138" s="14"/>
      <c r="B138" s="14"/>
      <c r="C138" s="14"/>
      <c r="D138" s="14"/>
      <c r="E138" s="14"/>
      <c r="F138" s="14"/>
    </row>
    <row r="139" spans="1:13" x14ac:dyDescent="0.2">
      <c r="A139" s="14"/>
      <c r="B139" s="14"/>
      <c r="C139" s="14"/>
      <c r="D139" s="14"/>
      <c r="E139" s="14"/>
      <c r="F139" s="14"/>
    </row>
    <row r="140" spans="1:13" x14ac:dyDescent="0.2">
      <c r="A140" s="14"/>
      <c r="B140" s="14"/>
      <c r="C140" s="14"/>
      <c r="D140" s="14"/>
      <c r="E140" s="14"/>
      <c r="F140" s="14"/>
    </row>
    <row r="141" spans="1:13" x14ac:dyDescent="0.2">
      <c r="A141" s="14"/>
      <c r="B141" s="14"/>
      <c r="C141" s="14"/>
      <c r="D141" s="14"/>
      <c r="E141" s="14"/>
      <c r="F141" s="14"/>
    </row>
  </sheetData>
  <conditionalFormatting sqref="B1 B39:B1048576 D2:D38">
    <cfRule type="containsText" dxfId="44" priority="1" operator="containsText" text="NIKDO">
      <formula>NOT(ISERROR(SEARCH("NIKDO",B1)))</formula>
    </cfRule>
  </conditionalFormatting>
  <conditionalFormatting sqref="F2:F38">
    <cfRule type="containsText" dxfId="43" priority="3" operator="containsText" text="FALSE">
      <formula>NOT(ISERROR(SEARCH("FALSE",F2)))</formula>
    </cfRule>
  </conditionalFormatting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0171-6275-7947-A8AD-9D510DA60A28}">
  <dimension ref="A1:M133"/>
  <sheetViews>
    <sheetView zoomScale="191" workbookViewId="0">
      <selection activeCell="G1" sqref="G1"/>
    </sheetView>
  </sheetViews>
  <sheetFormatPr baseColWidth="10" defaultColWidth="11" defaultRowHeight="16" x14ac:dyDescent="0.2"/>
  <cols>
    <col min="1" max="1" width="31.1640625" customWidth="1"/>
    <col min="2" max="2" width="14.1640625" bestFit="1" customWidth="1"/>
    <col min="5" max="5" width="17.6640625" bestFit="1" customWidth="1"/>
  </cols>
  <sheetData>
    <row r="1" spans="1:13" x14ac:dyDescent="0.2">
      <c r="A1" s="17" t="s">
        <v>4</v>
      </c>
      <c r="B1" s="3" t="s">
        <v>11</v>
      </c>
      <c r="C1" s="25" t="s">
        <v>12</v>
      </c>
      <c r="D1" s="25" t="s">
        <v>0</v>
      </c>
      <c r="E1" s="3" t="s">
        <v>19</v>
      </c>
      <c r="F1" s="25" t="s">
        <v>20</v>
      </c>
    </row>
    <row r="2" spans="1:13" x14ac:dyDescent="0.2">
      <c r="A2" s="20"/>
      <c r="C2" s="23"/>
      <c r="D2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" s="14" t="b">
        <f>EXACT(UPPER(IV[[#This Row],[POSTAVA]]),UPPER(IV[[#This Row],[KONTROLA DABÉRA]]))</f>
        <v>1</v>
      </c>
      <c r="G2" s="14"/>
      <c r="H2" s="14"/>
      <c r="I2" s="14"/>
      <c r="J2" s="14"/>
      <c r="K2" s="14"/>
      <c r="L2" s="14"/>
      <c r="M2" s="14"/>
    </row>
    <row r="3" spans="1:13" x14ac:dyDescent="0.2">
      <c r="A3" s="20"/>
      <c r="C3" s="23"/>
      <c r="D3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3" s="14" t="b">
        <f>EXACT(UPPER(IV[[#This Row],[POSTAVA]]),UPPER(IV[[#This Row],[KONTROLA DABÉRA]]))</f>
        <v>1</v>
      </c>
      <c r="G3" s="14"/>
      <c r="H3" s="14"/>
      <c r="I3" s="14"/>
      <c r="J3" s="14"/>
      <c r="K3" s="14"/>
      <c r="L3" s="14"/>
      <c r="M3" s="14"/>
    </row>
    <row r="4" spans="1:13" x14ac:dyDescent="0.2">
      <c r="A4" s="20"/>
      <c r="C4" s="23"/>
      <c r="D4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4" s="14" t="b">
        <f>EXACT(UPPER(IV[[#This Row],[POSTAVA]]),UPPER(IV[[#This Row],[KONTROLA DABÉRA]]))</f>
        <v>1</v>
      </c>
      <c r="G4" s="14"/>
      <c r="H4" s="14"/>
      <c r="I4" s="14"/>
      <c r="J4" s="14"/>
      <c r="K4" s="14"/>
      <c r="L4" s="14"/>
      <c r="M4" s="14"/>
    </row>
    <row r="5" spans="1:13" x14ac:dyDescent="0.2">
      <c r="A5" s="20"/>
      <c r="C5" s="23"/>
      <c r="D5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5" s="14" t="b">
        <f>EXACT(UPPER(IV[[#This Row],[POSTAVA]]),UPPER(IV[[#This Row],[KONTROLA DABÉRA]]))</f>
        <v>1</v>
      </c>
      <c r="G5" s="14"/>
      <c r="H5" s="14"/>
      <c r="I5" s="14"/>
      <c r="J5" s="14"/>
      <c r="K5" s="14"/>
      <c r="L5" s="14"/>
      <c r="M5" s="14"/>
    </row>
    <row r="6" spans="1:13" x14ac:dyDescent="0.2">
      <c r="A6" s="20"/>
      <c r="C6" s="23"/>
      <c r="D6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6" s="14" t="b">
        <f>EXACT(UPPER(IV[[#This Row],[POSTAVA]]),UPPER(IV[[#This Row],[KONTROLA DABÉRA]]))</f>
        <v>1</v>
      </c>
      <c r="G6" s="14"/>
      <c r="H6" s="14"/>
      <c r="I6" s="14"/>
      <c r="J6" s="14"/>
      <c r="K6" s="14"/>
      <c r="L6" s="14"/>
      <c r="M6" s="14"/>
    </row>
    <row r="7" spans="1:13" x14ac:dyDescent="0.2">
      <c r="A7" s="20"/>
      <c r="C7" s="23"/>
      <c r="D7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7" s="14" t="b">
        <f>EXACT(UPPER(IV[[#This Row],[POSTAVA]]),UPPER(IV[[#This Row],[KONTROLA DABÉRA]]))</f>
        <v>1</v>
      </c>
      <c r="G7" s="14"/>
      <c r="H7" s="14"/>
      <c r="I7" s="14"/>
      <c r="J7" s="14"/>
      <c r="K7" s="14"/>
      <c r="L7" s="14"/>
      <c r="M7" s="14"/>
    </row>
    <row r="8" spans="1:13" x14ac:dyDescent="0.2">
      <c r="A8" s="20"/>
      <c r="C8" s="23"/>
      <c r="D8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8" s="14" t="b">
        <f>EXACT(UPPER(IV[[#This Row],[POSTAVA]]),UPPER(IV[[#This Row],[KONTROLA DABÉRA]]))</f>
        <v>1</v>
      </c>
      <c r="G8" s="14"/>
      <c r="H8" s="14"/>
      <c r="I8" s="14"/>
      <c r="J8" s="14"/>
      <c r="K8" s="14"/>
      <c r="L8" s="14"/>
      <c r="M8" s="14"/>
    </row>
    <row r="9" spans="1:13" x14ac:dyDescent="0.2">
      <c r="A9" s="20"/>
      <c r="C9" s="23"/>
      <c r="D9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9" s="14" t="b">
        <f>EXACT(UPPER(IV[[#This Row],[POSTAVA]]),UPPER(IV[[#This Row],[KONTROLA DABÉRA]]))</f>
        <v>1</v>
      </c>
      <c r="G9" s="14"/>
      <c r="H9" s="14"/>
      <c r="I9" s="14"/>
      <c r="J9" s="14"/>
      <c r="K9" s="14"/>
      <c r="L9" s="14"/>
      <c r="M9" s="14"/>
    </row>
    <row r="10" spans="1:13" x14ac:dyDescent="0.2">
      <c r="A10" s="20"/>
      <c r="C10" s="23"/>
      <c r="D10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0" s="14" t="b">
        <f>EXACT(UPPER(IV[[#This Row],[POSTAVA]]),UPPER(IV[[#This Row],[KONTROLA DABÉRA]]))</f>
        <v>1</v>
      </c>
      <c r="G10" s="14"/>
      <c r="H10" s="14"/>
      <c r="I10" s="14"/>
      <c r="J10" s="14"/>
      <c r="K10" s="14"/>
      <c r="L10" s="14"/>
      <c r="M10" s="14"/>
    </row>
    <row r="11" spans="1:13" x14ac:dyDescent="0.2">
      <c r="A11" s="20"/>
      <c r="C11" s="23"/>
      <c r="D11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1" s="14" t="b">
        <f>EXACT(UPPER(IV[[#This Row],[POSTAVA]]),UPPER(IV[[#This Row],[KONTROLA DABÉRA]]))</f>
        <v>1</v>
      </c>
      <c r="G11" s="14"/>
      <c r="H11" s="14"/>
      <c r="I11" s="14"/>
      <c r="J11" s="14"/>
      <c r="K11" s="14"/>
      <c r="L11" s="14"/>
      <c r="M11" s="14"/>
    </row>
    <row r="12" spans="1:13" x14ac:dyDescent="0.2">
      <c r="A12" s="20"/>
      <c r="C12" s="23"/>
      <c r="D12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2" s="14" t="b">
        <f>EXACT(UPPER(IV[[#This Row],[POSTAVA]]),UPPER(IV[[#This Row],[KONTROLA DABÉRA]]))</f>
        <v>1</v>
      </c>
      <c r="G12" s="14"/>
      <c r="H12" s="14"/>
      <c r="I12" s="14"/>
      <c r="J12" s="14"/>
      <c r="K12" s="14"/>
      <c r="L12" s="14"/>
      <c r="M12" s="14"/>
    </row>
    <row r="13" spans="1:13" x14ac:dyDescent="0.2">
      <c r="A13" s="20"/>
      <c r="C13" s="23"/>
      <c r="D13" s="6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3" s="14" t="b">
        <f>EXACT(UPPER(IV[[#This Row],[POSTAVA]]),UPPER(IV[[#This Row],[KONTROLA DABÉRA]]))</f>
        <v>1</v>
      </c>
      <c r="G13" s="14"/>
      <c r="H13" s="14"/>
      <c r="I13" s="14"/>
      <c r="J13" s="14"/>
      <c r="K13" s="14"/>
      <c r="L13" s="14"/>
      <c r="M13" s="14"/>
    </row>
    <row r="14" spans="1:13" x14ac:dyDescent="0.2">
      <c r="A14" s="20"/>
      <c r="C14" s="23"/>
      <c r="D14" s="6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4" s="14" t="b">
        <f>EXACT(UPPER(IV[[#This Row],[POSTAVA]]),UPPER(IV[[#This Row],[KONTROLA DABÉRA]]))</f>
        <v>1</v>
      </c>
      <c r="G14" s="14"/>
      <c r="H14" s="14"/>
      <c r="I14" s="14"/>
      <c r="J14" s="14"/>
      <c r="K14" s="14"/>
      <c r="L14" s="14"/>
      <c r="M14" s="14"/>
    </row>
    <row r="15" spans="1:13" x14ac:dyDescent="0.2">
      <c r="A15" s="20"/>
      <c r="C15" s="23"/>
      <c r="D15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5" s="14" t="b">
        <f>EXACT(UPPER(IV[[#This Row],[POSTAVA]]),UPPER(IV[[#This Row],[KONTROLA DABÉRA]]))</f>
        <v>1</v>
      </c>
      <c r="G15" s="14"/>
      <c r="H15" s="14"/>
      <c r="I15" s="14"/>
      <c r="J15" s="14"/>
      <c r="K15" s="14"/>
      <c r="L15" s="14"/>
      <c r="M15" s="14"/>
    </row>
    <row r="16" spans="1:13" x14ac:dyDescent="0.2">
      <c r="A16" s="20"/>
      <c r="C16" s="23"/>
      <c r="D16" s="6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6" s="14" t="b">
        <f>EXACT(UPPER(IV[[#This Row],[POSTAVA]]),UPPER(IV[[#This Row],[KONTROLA DABÉRA]]))</f>
        <v>1</v>
      </c>
      <c r="G16" s="14"/>
      <c r="H16" s="14"/>
      <c r="I16" s="14"/>
      <c r="J16" s="14"/>
      <c r="K16" s="14"/>
      <c r="L16" s="14"/>
      <c r="M16" s="14"/>
    </row>
    <row r="17" spans="1:13" x14ac:dyDescent="0.2">
      <c r="A17" s="20"/>
      <c r="C17" s="23"/>
      <c r="D17" s="6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7" s="14" t="b">
        <f>EXACT(UPPER(IV[[#This Row],[POSTAVA]]),UPPER(IV[[#This Row],[KONTROLA DABÉRA]]))</f>
        <v>1</v>
      </c>
      <c r="G17" s="14"/>
      <c r="H17" s="14"/>
      <c r="I17" s="14"/>
      <c r="J17" s="14"/>
      <c r="K17" s="14"/>
      <c r="L17" s="14"/>
      <c r="M17" s="14"/>
    </row>
    <row r="18" spans="1:13" x14ac:dyDescent="0.2">
      <c r="A18" s="20"/>
      <c r="C18" s="23"/>
      <c r="D18" s="6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8" s="14" t="b">
        <f>EXACT(UPPER(IV[[#This Row],[POSTAVA]]),UPPER(IV[[#This Row],[KONTROLA DABÉRA]]))</f>
        <v>1</v>
      </c>
      <c r="G18" s="14"/>
      <c r="H18" s="14"/>
      <c r="I18" s="14"/>
      <c r="J18" s="14"/>
      <c r="K18" s="14"/>
      <c r="L18" s="14"/>
      <c r="M18" s="14"/>
    </row>
    <row r="19" spans="1:13" x14ac:dyDescent="0.2">
      <c r="A19" s="20"/>
      <c r="C19" s="23"/>
      <c r="D19" s="6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19" s="14" t="b">
        <f>EXACT(UPPER(IV[[#This Row],[POSTAVA]]),UPPER(IV[[#This Row],[KONTROLA DABÉRA]]))</f>
        <v>1</v>
      </c>
      <c r="G19" s="14"/>
      <c r="H19" s="14"/>
      <c r="I19" s="14"/>
      <c r="J19" s="14"/>
      <c r="K19" s="14"/>
      <c r="L19" s="14"/>
      <c r="M19" s="14"/>
    </row>
    <row r="20" spans="1:13" x14ac:dyDescent="0.2">
      <c r="A20" s="20"/>
      <c r="C20" s="23"/>
      <c r="D20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0" s="14" t="b">
        <f>EXACT(UPPER(IV[[#This Row],[POSTAVA]]),UPPER(IV[[#This Row],[KONTROLA DABÉRA]]))</f>
        <v>1</v>
      </c>
      <c r="G20" s="14"/>
      <c r="H20" s="14"/>
      <c r="I20" s="14"/>
      <c r="J20" s="14"/>
      <c r="K20" s="14"/>
      <c r="L20" s="14"/>
      <c r="M20" s="14"/>
    </row>
    <row r="21" spans="1:13" x14ac:dyDescent="0.2">
      <c r="A21" s="20"/>
      <c r="C21" s="23"/>
      <c r="D21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1" s="14" t="b">
        <f>EXACT(UPPER(IV[[#This Row],[POSTAVA]]),UPPER(IV[[#This Row],[KONTROLA DABÉRA]]))</f>
        <v>1</v>
      </c>
      <c r="G21" s="14"/>
      <c r="H21" s="14"/>
      <c r="I21" s="14"/>
      <c r="J21" s="14"/>
      <c r="K21" s="14"/>
      <c r="L21" s="14"/>
      <c r="M21" s="14"/>
    </row>
    <row r="22" spans="1:13" x14ac:dyDescent="0.2">
      <c r="A22" s="20"/>
      <c r="C22" s="23"/>
      <c r="D22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2" s="14" t="b">
        <f>EXACT(UPPER(IV[[#This Row],[POSTAVA]]),UPPER(IV[[#This Row],[KONTROLA DABÉRA]]))</f>
        <v>1</v>
      </c>
      <c r="G22" s="14"/>
      <c r="H22" s="14"/>
      <c r="I22" s="14"/>
      <c r="J22" s="14"/>
      <c r="K22" s="14"/>
      <c r="L22" s="14"/>
      <c r="M22" s="14"/>
    </row>
    <row r="23" spans="1:13" x14ac:dyDescent="0.2">
      <c r="A23" s="20"/>
      <c r="C23" s="23"/>
      <c r="D23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3" s="14" t="b">
        <f>EXACT(UPPER(IV[[#This Row],[POSTAVA]]),UPPER(IV[[#This Row],[KONTROLA DABÉRA]]))</f>
        <v>1</v>
      </c>
      <c r="G23" s="14"/>
      <c r="H23" s="14"/>
      <c r="I23" s="14"/>
      <c r="J23" s="14"/>
      <c r="K23" s="14"/>
      <c r="L23" s="14"/>
      <c r="M23" s="14"/>
    </row>
    <row r="24" spans="1:13" x14ac:dyDescent="0.2">
      <c r="A24" s="20"/>
      <c r="C24" s="23"/>
      <c r="D24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4" s="14" t="b">
        <f>EXACT(UPPER(IV[[#This Row],[POSTAVA]]),UPPER(IV[[#This Row],[KONTROLA DABÉRA]]))</f>
        <v>1</v>
      </c>
      <c r="G24" s="14"/>
      <c r="H24" s="14"/>
      <c r="I24" s="14"/>
      <c r="J24" s="14"/>
      <c r="K24" s="14"/>
      <c r="L24" s="14"/>
      <c r="M24" s="14"/>
    </row>
    <row r="25" spans="1:13" x14ac:dyDescent="0.2">
      <c r="A25" s="20"/>
      <c r="C25" s="23"/>
      <c r="D25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5" s="14" t="b">
        <f>EXACT(UPPER(IV[[#This Row],[POSTAVA]]),UPPER(IV[[#This Row],[KONTROLA DABÉRA]]))</f>
        <v>1</v>
      </c>
      <c r="G25" s="14"/>
      <c r="H25" s="14"/>
      <c r="I25" s="14"/>
      <c r="J25" s="14"/>
      <c r="K25" s="14"/>
      <c r="L25" s="14"/>
      <c r="M25" s="14"/>
    </row>
    <row r="26" spans="1:13" x14ac:dyDescent="0.2">
      <c r="A26" s="20"/>
      <c r="C26" s="23"/>
      <c r="D26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6" s="14" t="b">
        <f>EXACT(UPPER(IV[[#This Row],[POSTAVA]]),UPPER(IV[[#This Row],[KONTROLA DABÉRA]]))</f>
        <v>1</v>
      </c>
      <c r="G26" s="14"/>
      <c r="H26" s="14"/>
      <c r="I26" s="14"/>
      <c r="J26" s="14"/>
      <c r="K26" s="14"/>
      <c r="L26" s="14"/>
      <c r="M26" s="14"/>
    </row>
    <row r="27" spans="1:13" x14ac:dyDescent="0.2">
      <c r="A27" s="20"/>
      <c r="C27" s="23"/>
      <c r="D27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7" s="14" t="b">
        <f>EXACT(UPPER(IV[[#This Row],[POSTAVA]]),UPPER(IV[[#This Row],[KONTROLA DABÉRA]]))</f>
        <v>1</v>
      </c>
      <c r="G27" s="14"/>
      <c r="H27" s="14"/>
      <c r="I27" s="14"/>
      <c r="J27" s="14"/>
      <c r="K27" s="14"/>
      <c r="L27" s="14"/>
      <c r="M27" s="14"/>
    </row>
    <row r="28" spans="1:13" x14ac:dyDescent="0.2">
      <c r="A28" s="20"/>
      <c r="C28" s="23"/>
      <c r="D28" s="14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8" s="14" t="b">
        <f>EXACT(UPPER(IV[[#This Row],[POSTAVA]]),UPPER(IV[[#This Row],[KONTROLA DABÉRA]]))</f>
        <v>1</v>
      </c>
      <c r="G28" s="14"/>
      <c r="H28" s="14"/>
      <c r="I28" s="14"/>
      <c r="J28" s="14"/>
      <c r="K28" s="14"/>
      <c r="L28" s="14"/>
      <c r="M28" s="14"/>
    </row>
    <row r="29" spans="1:13" x14ac:dyDescent="0.2">
      <c r="A29" s="20"/>
      <c r="C29" s="23"/>
      <c r="D29" s="2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29" s="2" t="b">
        <f>EXACT(UPPER(IV[[#This Row],[POSTAVA]]),UPPER(IV[[#This Row],[KONTROLA DABÉRA]]))</f>
        <v>1</v>
      </c>
      <c r="G29" s="14"/>
      <c r="H29" s="14"/>
      <c r="I29" s="14"/>
      <c r="J29" s="14"/>
      <c r="K29" s="14"/>
      <c r="L29" s="14"/>
      <c r="M29" s="14"/>
    </row>
    <row r="30" spans="1:13" x14ac:dyDescent="0.2">
      <c r="A30" s="20"/>
      <c r="C30" s="23"/>
      <c r="D30" s="2" t="str">
        <f>IF(_xlfn.XLOOKUP(IV[[#This Row],[POSTAVA]],KOMPLET[POSTAVA],KOMPLET[DABÉR],"CHYBÍ POSTAVA V KOMPLET")=0,"NIKDO",_xlfn.XLOOKUP(IV[[#This Row],[POSTAVA]],KOMPLET[POSTAVA],KOMPLET[DABÉR],"CHYBÍ POSTAVA V KOMPLET"))</f>
        <v>NIKDO</v>
      </c>
      <c r="F30" s="2" t="b">
        <f>EXACT(UPPER(IV[[#This Row],[POSTAVA]]),UPPER(IV[[#This Row],[KONTROLA DABÉRA]]))</f>
        <v>1</v>
      </c>
      <c r="G30" s="14"/>
      <c r="H30" s="14"/>
      <c r="I30" s="14"/>
      <c r="J30" s="14"/>
      <c r="K30" s="14"/>
      <c r="L30" s="14"/>
      <c r="M30" s="14"/>
    </row>
    <row r="31" spans="1:13" ht="17" x14ac:dyDescent="0.2">
      <c r="A31" s="1" t="s">
        <v>17</v>
      </c>
      <c r="B31" s="6">
        <f>SUBTOTAL(109,IV[VSTUPY])</f>
        <v>0</v>
      </c>
      <c r="C31" s="2">
        <f>SUBTOTAL(9,IV[REPLIKY])</f>
        <v>0</v>
      </c>
      <c r="D31" s="2">
        <f>SUBTOTAL(9,IV[DABÉR])</f>
        <v>0</v>
      </c>
      <c r="E31" s="2"/>
      <c r="F31" s="2"/>
      <c r="G31" s="14"/>
      <c r="H31" s="14"/>
      <c r="I31" s="14"/>
      <c r="J31" s="14"/>
      <c r="K31" s="14"/>
      <c r="L31" s="14"/>
      <c r="M31" s="14"/>
    </row>
    <row r="32" spans="1:13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">
      <c r="A128" s="14"/>
      <c r="B128" s="14"/>
      <c r="C128" s="14"/>
      <c r="D128" s="14"/>
      <c r="E128" s="14"/>
      <c r="F128" s="14"/>
    </row>
    <row r="129" spans="1:6" x14ac:dyDescent="0.2">
      <c r="A129" s="14"/>
      <c r="B129" s="14"/>
      <c r="C129" s="14"/>
      <c r="D129" s="14"/>
      <c r="E129" s="14"/>
      <c r="F129" s="14"/>
    </row>
    <row r="130" spans="1:6" x14ac:dyDescent="0.2">
      <c r="A130" s="14"/>
      <c r="B130" s="14"/>
      <c r="C130" s="14"/>
      <c r="D130" s="14"/>
      <c r="E130" s="14"/>
      <c r="F130" s="14"/>
    </row>
    <row r="131" spans="1:6" x14ac:dyDescent="0.2">
      <c r="A131" s="14"/>
      <c r="B131" s="14"/>
      <c r="C131" s="14"/>
      <c r="D131" s="14"/>
      <c r="E131" s="14"/>
      <c r="F131" s="14"/>
    </row>
    <row r="132" spans="1:6" x14ac:dyDescent="0.2">
      <c r="A132" s="14"/>
      <c r="B132" s="14"/>
      <c r="C132" s="14"/>
      <c r="D132" s="14"/>
      <c r="E132" s="14"/>
      <c r="F132" s="14"/>
    </row>
    <row r="133" spans="1:6" x14ac:dyDescent="0.2">
      <c r="A133" s="14"/>
      <c r="B133" s="14"/>
      <c r="C133" s="14"/>
      <c r="D133" s="14"/>
      <c r="E133" s="14"/>
      <c r="F133" s="14"/>
    </row>
  </sheetData>
  <conditionalFormatting sqref="B1:B1048576">
    <cfRule type="containsText" dxfId="42" priority="1" operator="containsText" text="NIKDO">
      <formula>NOT(ISERROR(SEARCH("NIKDO",B1)))</formula>
    </cfRule>
  </conditionalFormatting>
  <conditionalFormatting sqref="D2:D30">
    <cfRule type="containsText" dxfId="41" priority="2" operator="containsText" text="NIKDO">
      <formula>NOT(ISERROR(SEARCH("NIKDO",D2)))</formula>
    </cfRule>
  </conditionalFormatting>
  <conditionalFormatting sqref="F2:F30">
    <cfRule type="containsText" dxfId="40" priority="3" operator="containsText" text="FALSE">
      <formula>NOT(ISERROR(SEARCH("FALSE",F2)))</formula>
    </cfRule>
  </conditionalFormatting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C7B0-D4B7-DC46-B749-CBE0547ECE52}">
  <dimension ref="A1:F27"/>
  <sheetViews>
    <sheetView workbookViewId="0">
      <selection activeCell="G1" sqref="G1"/>
    </sheetView>
  </sheetViews>
  <sheetFormatPr baseColWidth="10" defaultColWidth="11" defaultRowHeight="16" x14ac:dyDescent="0.2"/>
  <cols>
    <col min="1" max="1" width="19.33203125" customWidth="1"/>
    <col min="2" max="2" width="14.1640625" bestFit="1" customWidth="1"/>
    <col min="4" max="4" width="41.5" customWidth="1"/>
    <col min="5" max="5" width="17.6640625" bestFit="1" customWidth="1"/>
  </cols>
  <sheetData>
    <row r="1" spans="1:6" x14ac:dyDescent="0.2">
      <c r="A1" s="17" t="s">
        <v>4</v>
      </c>
      <c r="B1" s="3" t="s">
        <v>11</v>
      </c>
      <c r="C1" s="25" t="s">
        <v>12</v>
      </c>
      <c r="D1" s="25" t="s">
        <v>0</v>
      </c>
      <c r="E1" s="3" t="s">
        <v>19</v>
      </c>
      <c r="F1" s="25" t="s">
        <v>20</v>
      </c>
    </row>
    <row r="2" spans="1:6" x14ac:dyDescent="0.2">
      <c r="A2" s="20"/>
      <c r="C2" s="23"/>
      <c r="D2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" s="14" t="b">
        <f>EXACT(UPPER(V[[#This Row],[POSTAVA]]),UPPER(V[[#This Row],[KONTROLA DABÉRA]]))</f>
        <v>1</v>
      </c>
    </row>
    <row r="3" spans="1:6" x14ac:dyDescent="0.2">
      <c r="A3" s="20"/>
      <c r="C3" s="23"/>
      <c r="D3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3" s="14" t="b">
        <f>EXACT(UPPER(V[[#This Row],[POSTAVA]]),UPPER(V[[#This Row],[KONTROLA DABÉRA]]))</f>
        <v>1</v>
      </c>
    </row>
    <row r="4" spans="1:6" x14ac:dyDescent="0.2">
      <c r="A4" s="20"/>
      <c r="C4" s="23"/>
      <c r="D4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4" s="14" t="b">
        <f>EXACT(UPPER(V[[#This Row],[POSTAVA]]),UPPER(V[[#This Row],[KONTROLA DABÉRA]]))</f>
        <v>1</v>
      </c>
    </row>
    <row r="5" spans="1:6" x14ac:dyDescent="0.2">
      <c r="A5" s="20"/>
      <c r="C5" s="23"/>
      <c r="D5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5" s="14" t="b">
        <f>EXACT(UPPER(V[[#This Row],[POSTAVA]]),UPPER(V[[#This Row],[KONTROLA DABÉRA]]))</f>
        <v>1</v>
      </c>
    </row>
    <row r="6" spans="1:6" x14ac:dyDescent="0.2">
      <c r="A6" s="20"/>
      <c r="C6" s="23"/>
      <c r="D6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6" s="14" t="b">
        <f>EXACT(UPPER(V[[#This Row],[POSTAVA]]),UPPER(V[[#This Row],[KONTROLA DABÉRA]]))</f>
        <v>1</v>
      </c>
    </row>
    <row r="7" spans="1:6" x14ac:dyDescent="0.2">
      <c r="A7" s="20"/>
      <c r="C7" s="23"/>
      <c r="D7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7" s="14" t="b">
        <f>EXACT(UPPER(V[[#This Row],[POSTAVA]]),UPPER(V[[#This Row],[KONTROLA DABÉRA]]))</f>
        <v>1</v>
      </c>
    </row>
    <row r="8" spans="1:6" x14ac:dyDescent="0.2">
      <c r="A8" s="20"/>
      <c r="C8" s="23"/>
      <c r="D8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8" s="14" t="b">
        <f>EXACT(UPPER(V[[#This Row],[POSTAVA]]),UPPER(V[[#This Row],[KONTROLA DABÉRA]]))</f>
        <v>1</v>
      </c>
    </row>
    <row r="9" spans="1:6" x14ac:dyDescent="0.2">
      <c r="A9" s="20"/>
      <c r="C9" s="23"/>
      <c r="D9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9" s="14" t="b">
        <f>EXACT(UPPER(V[[#This Row],[POSTAVA]]),UPPER(V[[#This Row],[KONTROLA DABÉRA]]))</f>
        <v>1</v>
      </c>
    </row>
    <row r="10" spans="1:6" x14ac:dyDescent="0.2">
      <c r="A10" s="20"/>
      <c r="C10" s="23"/>
      <c r="D10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0" s="14" t="b">
        <f>EXACT(UPPER(V[[#This Row],[POSTAVA]]),UPPER(V[[#This Row],[KONTROLA DABÉRA]]))</f>
        <v>1</v>
      </c>
    </row>
    <row r="11" spans="1:6" x14ac:dyDescent="0.2">
      <c r="A11" s="20"/>
      <c r="C11" s="23"/>
      <c r="D11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1" s="14" t="b">
        <f>EXACT(UPPER(V[[#This Row],[POSTAVA]]),UPPER(V[[#This Row],[KONTROLA DABÉRA]]))</f>
        <v>1</v>
      </c>
    </row>
    <row r="12" spans="1:6" x14ac:dyDescent="0.2">
      <c r="A12" s="20"/>
      <c r="C12" s="23"/>
      <c r="D12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2" s="14" t="b">
        <f>EXACT(UPPER(V[[#This Row],[POSTAVA]]),UPPER(V[[#This Row],[KONTROLA DABÉRA]]))</f>
        <v>1</v>
      </c>
    </row>
    <row r="13" spans="1:6" x14ac:dyDescent="0.2">
      <c r="A13" s="20"/>
      <c r="C13" s="23"/>
      <c r="D13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3" s="14" t="b">
        <f>EXACT(UPPER(V[[#This Row],[POSTAVA]]),UPPER(V[[#This Row],[KONTROLA DABÉRA]]))</f>
        <v>1</v>
      </c>
    </row>
    <row r="14" spans="1:6" x14ac:dyDescent="0.2">
      <c r="A14" s="20"/>
      <c r="C14" s="23"/>
      <c r="D14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4" s="14" t="b">
        <f>EXACT(UPPER(V[[#This Row],[POSTAVA]]),UPPER(V[[#This Row],[KONTROLA DABÉRA]]))</f>
        <v>1</v>
      </c>
    </row>
    <row r="15" spans="1:6" x14ac:dyDescent="0.2">
      <c r="A15" s="20"/>
      <c r="C15" s="23"/>
      <c r="D15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5" s="14" t="b">
        <f>EXACT(UPPER(V[[#This Row],[POSTAVA]]),UPPER(V[[#This Row],[KONTROLA DABÉRA]]))</f>
        <v>1</v>
      </c>
    </row>
    <row r="16" spans="1:6" x14ac:dyDescent="0.2">
      <c r="A16" s="20"/>
      <c r="C16" s="23"/>
      <c r="D16" s="6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6" s="14" t="b">
        <f>EXACT(UPPER(V[[#This Row],[POSTAVA]]),UPPER(V[[#This Row],[KONTROLA DABÉRA]]))</f>
        <v>1</v>
      </c>
    </row>
    <row r="17" spans="1:6" x14ac:dyDescent="0.2">
      <c r="A17" s="20"/>
      <c r="C17" s="23"/>
      <c r="D17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7" s="14" t="b">
        <f>EXACT(UPPER(V[[#This Row],[POSTAVA]]),UPPER(V[[#This Row],[KONTROLA DABÉRA]]))</f>
        <v>1</v>
      </c>
    </row>
    <row r="18" spans="1:6" x14ac:dyDescent="0.2">
      <c r="A18" s="20"/>
      <c r="C18" s="23"/>
      <c r="D18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8" s="14" t="b">
        <f>EXACT(UPPER(V[[#This Row],[POSTAVA]]),UPPER(V[[#This Row],[KONTROLA DABÉRA]]))</f>
        <v>1</v>
      </c>
    </row>
    <row r="19" spans="1:6" x14ac:dyDescent="0.2">
      <c r="A19" s="20"/>
      <c r="C19" s="23"/>
      <c r="D19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19" s="14" t="b">
        <f>EXACT(UPPER(V[[#This Row],[POSTAVA]]),UPPER(V[[#This Row],[KONTROLA DABÉRA]]))</f>
        <v>1</v>
      </c>
    </row>
    <row r="20" spans="1:6" x14ac:dyDescent="0.2">
      <c r="A20" s="20"/>
      <c r="C20" s="23"/>
      <c r="D20" s="14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0" s="14" t="b">
        <f>EXACT(UPPER(V[[#This Row],[POSTAVA]]),UPPER(V[[#This Row],[KONTROLA DABÉRA]]))</f>
        <v>1</v>
      </c>
    </row>
    <row r="21" spans="1:6" x14ac:dyDescent="0.2">
      <c r="A21" s="20"/>
      <c r="C21" s="23"/>
      <c r="D21" s="2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1" s="2" t="b">
        <f>EXACT(UPPER(V[[#This Row],[POSTAVA]]),UPPER(V[[#This Row],[KONTROLA DABÉRA]]))</f>
        <v>1</v>
      </c>
    </row>
    <row r="22" spans="1:6" x14ac:dyDescent="0.2">
      <c r="A22" s="20"/>
      <c r="C22" s="23"/>
      <c r="D22" s="2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2" s="2" t="b">
        <f>EXACT(UPPER(V[[#This Row],[POSTAVA]]),UPPER(V[[#This Row],[KONTROLA DABÉRA]]))</f>
        <v>1</v>
      </c>
    </row>
    <row r="23" spans="1:6" x14ac:dyDescent="0.2">
      <c r="A23" s="20"/>
      <c r="C23" s="23"/>
      <c r="D23" s="2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3" s="2" t="b">
        <f>EXACT(UPPER(V[[#This Row],[POSTAVA]]),UPPER(V[[#This Row],[KONTROLA DABÉRA]]))</f>
        <v>1</v>
      </c>
    </row>
    <row r="24" spans="1:6" x14ac:dyDescent="0.2">
      <c r="A24" s="20"/>
      <c r="C24" s="23"/>
      <c r="D24" s="2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4" s="2" t="b">
        <f>EXACT(UPPER(V[[#This Row],[POSTAVA]]),UPPER(V[[#This Row],[KONTROLA DABÉRA]]))</f>
        <v>1</v>
      </c>
    </row>
    <row r="25" spans="1:6" x14ac:dyDescent="0.2">
      <c r="A25" s="20"/>
      <c r="C25" s="23"/>
      <c r="D25" s="2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5" s="2" t="b">
        <f>EXACT(UPPER(V[[#This Row],[POSTAVA]]),UPPER(V[[#This Row],[KONTROLA DABÉRA]]))</f>
        <v>1</v>
      </c>
    </row>
    <row r="26" spans="1:6" x14ac:dyDescent="0.2">
      <c r="A26" s="20"/>
      <c r="C26" s="23"/>
      <c r="D26" s="2" t="str">
        <f>IF(_xlfn.XLOOKUP(V[[#This Row],[POSTAVA]],KOMPLET[POSTAVA],KOMPLET[DABÉR],"CHYBÍ POSTAVA V KOMPLET")=0,"NIKDO",_xlfn.XLOOKUP(V[[#This Row],[POSTAVA]],KOMPLET[POSTAVA],KOMPLET[DABÉR],"CHYBÍ POSTAVA V KOMPLET"))</f>
        <v>NIKDO</v>
      </c>
      <c r="F26" s="2" t="b">
        <f>EXACT(UPPER(V[[#This Row],[POSTAVA]]),UPPER(V[[#This Row],[KONTROLA DABÉRA]]))</f>
        <v>1</v>
      </c>
    </row>
    <row r="27" spans="1:6" ht="17" x14ac:dyDescent="0.2">
      <c r="A27" s="1" t="s">
        <v>17</v>
      </c>
      <c r="B27" s="6">
        <f>SUBTOTAL(109,V[VSTUPY])</f>
        <v>0</v>
      </c>
      <c r="C27" s="2">
        <f>SUBTOTAL(9,V[REPLIKY])</f>
        <v>0</v>
      </c>
      <c r="D27" s="2">
        <f>SUBTOTAL(9,V[DABÉR])</f>
        <v>0</v>
      </c>
      <c r="F27" s="2"/>
    </row>
  </sheetData>
  <conditionalFormatting sqref="B1:B1048576 D2:D26">
    <cfRule type="containsText" dxfId="39" priority="1" operator="containsText" text="NIKDO">
      <formula>NOT(ISERROR(SEARCH("NIKDO",B1)))</formula>
    </cfRule>
  </conditionalFormatting>
  <conditionalFormatting sqref="F2:F26">
    <cfRule type="containsText" dxfId="38" priority="3" operator="containsText" text="FALSE">
      <formula>NOT(ISERROR(SEARCH("FALSE",F2)))</formula>
    </cfRule>
  </conditionalFormatting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635D-7C90-DB46-8258-74EBB4FE08F8}">
  <dimension ref="A1:F24"/>
  <sheetViews>
    <sheetView workbookViewId="0">
      <selection activeCell="F2" sqref="F2"/>
    </sheetView>
  </sheetViews>
  <sheetFormatPr baseColWidth="10" defaultColWidth="11" defaultRowHeight="16" x14ac:dyDescent="0.2"/>
  <cols>
    <col min="1" max="1" width="30.83203125" customWidth="1"/>
    <col min="2" max="2" width="14.1640625" bestFit="1" customWidth="1"/>
    <col min="4" max="4" width="29.83203125" bestFit="1" customWidth="1"/>
    <col min="5" max="5" width="17.6640625" bestFit="1" customWidth="1"/>
  </cols>
  <sheetData>
    <row r="1" spans="1:6" x14ac:dyDescent="0.2">
      <c r="A1" s="17" t="s">
        <v>4</v>
      </c>
      <c r="B1" s="3" t="s">
        <v>11</v>
      </c>
      <c r="C1" s="25" t="s">
        <v>12</v>
      </c>
      <c r="D1" s="25" t="s">
        <v>0</v>
      </c>
      <c r="E1" s="3" t="s">
        <v>19</v>
      </c>
      <c r="F1" s="25" t="s">
        <v>20</v>
      </c>
    </row>
    <row r="2" spans="1:6" x14ac:dyDescent="0.2">
      <c r="D2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2" s="14" t="b">
        <f>EXACT(UPPER(VI[[#This Row],[POSTAVA]]),UPPER(VI[[#This Row],[KONTROLA DABÉRA]]))</f>
        <v>1</v>
      </c>
    </row>
    <row r="3" spans="1:6" x14ac:dyDescent="0.2">
      <c r="D3" s="6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3" s="14" t="b">
        <f>EXACT(UPPER(VI[[#This Row],[POSTAVA]]),UPPER(VI[[#This Row],[KONTROLA DABÉRA]]))</f>
        <v>1</v>
      </c>
    </row>
    <row r="4" spans="1:6" x14ac:dyDescent="0.2">
      <c r="D4" s="6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4" s="14" t="b">
        <f>EXACT(UPPER(VI[[#This Row],[POSTAVA]]),UPPER(VI[[#This Row],[KONTROLA DABÉRA]]))</f>
        <v>1</v>
      </c>
    </row>
    <row r="5" spans="1:6" x14ac:dyDescent="0.2">
      <c r="D5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5" s="14" t="b">
        <f>EXACT(UPPER(VI[[#This Row],[POSTAVA]]),UPPER(VI[[#This Row],[KONTROLA DABÉRA]]))</f>
        <v>1</v>
      </c>
    </row>
    <row r="6" spans="1:6" x14ac:dyDescent="0.2">
      <c r="D6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6" s="14" t="b">
        <f>EXACT(UPPER(VI[[#This Row],[POSTAVA]]),UPPER(VI[[#This Row],[KONTROLA DABÉRA]]))</f>
        <v>1</v>
      </c>
    </row>
    <row r="7" spans="1:6" x14ac:dyDescent="0.2">
      <c r="D7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7" s="14" t="b">
        <f>EXACT(UPPER(VI[[#This Row],[POSTAVA]]),UPPER(VI[[#This Row],[KONTROLA DABÉRA]]))</f>
        <v>1</v>
      </c>
    </row>
    <row r="8" spans="1:6" x14ac:dyDescent="0.2">
      <c r="D8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8" s="14" t="b">
        <f>EXACT(UPPER(VI[[#This Row],[POSTAVA]]),UPPER(VI[[#This Row],[KONTROLA DABÉRA]]))</f>
        <v>1</v>
      </c>
    </row>
    <row r="9" spans="1:6" x14ac:dyDescent="0.2">
      <c r="D9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9" s="14" t="b">
        <f>EXACT(UPPER(VI[[#This Row],[POSTAVA]]),UPPER(VI[[#This Row],[KONTROLA DABÉRA]]))</f>
        <v>1</v>
      </c>
    </row>
    <row r="10" spans="1:6" x14ac:dyDescent="0.2">
      <c r="D10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0" s="14" t="b">
        <f>EXACT(UPPER(VI[[#This Row],[POSTAVA]]),UPPER(VI[[#This Row],[KONTROLA DABÉRA]]))</f>
        <v>1</v>
      </c>
    </row>
    <row r="11" spans="1:6" x14ac:dyDescent="0.2">
      <c r="D11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1" s="14" t="b">
        <f>EXACT(UPPER(VI[[#This Row],[POSTAVA]]),UPPER(VI[[#This Row],[KONTROLA DABÉRA]]))</f>
        <v>1</v>
      </c>
    </row>
    <row r="12" spans="1:6" x14ac:dyDescent="0.2">
      <c r="D12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2" s="14" t="b">
        <f>EXACT(UPPER(VI[[#This Row],[POSTAVA]]),UPPER(VI[[#This Row],[KONTROLA DABÉRA]]))</f>
        <v>1</v>
      </c>
    </row>
    <row r="13" spans="1:6" x14ac:dyDescent="0.2">
      <c r="D13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3" s="14" t="b">
        <f>EXACT(UPPER(VI[[#This Row],[POSTAVA]]),UPPER(VI[[#This Row],[KONTROLA DABÉRA]]))</f>
        <v>1</v>
      </c>
    </row>
    <row r="14" spans="1:6" x14ac:dyDescent="0.2">
      <c r="D14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4" s="14" t="b">
        <f>EXACT(UPPER(VI[[#This Row],[POSTAVA]]),UPPER(VI[[#This Row],[KONTROLA DABÉRA]]))</f>
        <v>1</v>
      </c>
    </row>
    <row r="15" spans="1:6" x14ac:dyDescent="0.2">
      <c r="D15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5" s="14" t="b">
        <f>EXACT(UPPER(VI[[#This Row],[POSTAVA]]),UPPER(VI[[#This Row],[KONTROLA DABÉRA]]))</f>
        <v>1</v>
      </c>
    </row>
    <row r="16" spans="1:6" x14ac:dyDescent="0.2">
      <c r="D16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6" s="14" t="b">
        <f>EXACT(UPPER(VI[[#This Row],[POSTAVA]]),UPPER(VI[[#This Row],[KONTROLA DABÉRA]]))</f>
        <v>1</v>
      </c>
    </row>
    <row r="17" spans="1:6" x14ac:dyDescent="0.2">
      <c r="D17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7" s="14" t="b">
        <f>EXACT(UPPER(VI[[#This Row],[POSTAVA]]),UPPER(VI[[#This Row],[KONTROLA DABÉRA]]))</f>
        <v>1</v>
      </c>
    </row>
    <row r="18" spans="1:6" x14ac:dyDescent="0.2">
      <c r="D18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8" s="14" t="b">
        <f>EXACT(UPPER(VI[[#This Row],[POSTAVA]]),UPPER(VI[[#This Row],[KONTROLA DABÉRA]]))</f>
        <v>1</v>
      </c>
    </row>
    <row r="19" spans="1:6" x14ac:dyDescent="0.2">
      <c r="D19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19" s="14" t="b">
        <f>EXACT(UPPER(VI[[#This Row],[POSTAVA]]),UPPER(VI[[#This Row],[KONTROLA DABÉRA]]))</f>
        <v>1</v>
      </c>
    </row>
    <row r="20" spans="1:6" x14ac:dyDescent="0.2">
      <c r="D20" s="6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20" s="14" t="b">
        <f>EXACT(UPPER(VI[[#This Row],[POSTAVA]]),UPPER(VI[[#This Row],[KONTROLA DABÉRA]]))</f>
        <v>1</v>
      </c>
    </row>
    <row r="21" spans="1:6" x14ac:dyDescent="0.2">
      <c r="D21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21" s="14" t="b">
        <f>EXACT(UPPER(VI[[#This Row],[POSTAVA]]),UPPER(VI[[#This Row],[KONTROLA DABÉRA]]))</f>
        <v>1</v>
      </c>
    </row>
    <row r="22" spans="1:6" x14ac:dyDescent="0.2">
      <c r="D22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22" s="14" t="b">
        <f>EXACT(UPPER(VI[[#This Row],[POSTAVA]]),UPPER(VI[[#This Row],[KONTROLA DABÉRA]]))</f>
        <v>1</v>
      </c>
    </row>
    <row r="23" spans="1:6" x14ac:dyDescent="0.2">
      <c r="D23" s="14" t="str">
        <f>IF(_xlfn.XLOOKUP(VI[[#This Row],[POSTAVA]],KOMPLET[POSTAVA],KOMPLET[DABÉR],"CHYBÍ POSTAVA V KOMPLET")=0,"NIKDO",_xlfn.XLOOKUP(VI[[#This Row],[POSTAVA]],KOMPLET[POSTAVA],KOMPLET[DABÉR],"CHYBÍ POSTAVA V KOMPLET"))</f>
        <v>NIKDO</v>
      </c>
      <c r="F23" s="14" t="b">
        <f>EXACT(UPPER(VI[[#This Row],[POSTAVA]]),UPPER(VI[[#This Row],[KONTROLA DABÉRA]]))</f>
        <v>1</v>
      </c>
    </row>
    <row r="24" spans="1:6" ht="17" x14ac:dyDescent="0.2">
      <c r="A24" s="1" t="s">
        <v>17</v>
      </c>
      <c r="B24" s="6">
        <f>SUBTOTAL(109,VI[VSTUPY])</f>
        <v>0</v>
      </c>
      <c r="C24" s="2">
        <f>SUBTOTAL(9,VI[REPLIKY])</f>
        <v>0</v>
      </c>
      <c r="D24" s="2">
        <f>SUBTOTAL(9,VI[DABÉR])</f>
        <v>0</v>
      </c>
      <c r="E24" s="2"/>
      <c r="F24" s="2"/>
    </row>
  </sheetData>
  <conditionalFormatting sqref="B1 B24:B1048576">
    <cfRule type="containsText" dxfId="37" priority="1" operator="containsText" text="NIKDO">
      <formula>NOT(ISERROR(SEARCH("NIKDO",B1)))</formula>
    </cfRule>
  </conditionalFormatting>
  <conditionalFormatting sqref="D2:D23">
    <cfRule type="containsText" dxfId="36" priority="2" operator="containsText" text="NIKDO">
      <formula>NOT(ISERROR(SEARCH("NIKDO",D2)))</formula>
    </cfRule>
  </conditionalFormatting>
  <conditionalFormatting sqref="F2:F23">
    <cfRule type="containsText" dxfId="35" priority="3" operator="containsText" text="FALSE">
      <formula>NOT(ISERROR(SEARCH("FALSE",F2)))</formula>
    </cfRule>
  </conditionalFormatting>
  <pageMargins left="0.7" right="0.7" top="0.78740157499999996" bottom="0.78740157499999996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HERCI</vt:lpstr>
      <vt:lpstr>KOMPLET</vt:lpstr>
      <vt:lpstr>PŘEHLED</vt:lpstr>
      <vt:lpstr>01</vt:lpstr>
      <vt:lpstr>02</vt:lpstr>
      <vt:lpstr>03</vt:lpstr>
      <vt:lpstr>04</vt:lpstr>
      <vt:lpstr>05</vt:lpstr>
      <vt:lpstr>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 Kiulpekidis</dc:creator>
  <cp:keywords/>
  <dc:description/>
  <cp:lastModifiedBy>Philip Kiulpekidis</cp:lastModifiedBy>
  <cp:revision/>
  <dcterms:created xsi:type="dcterms:W3CDTF">2020-02-13T11:19:24Z</dcterms:created>
  <dcterms:modified xsi:type="dcterms:W3CDTF">2026-04-04T22:34:31Z</dcterms:modified>
  <cp:category/>
  <cp:contentStatus/>
</cp:coreProperties>
</file>